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/Users/aamarqureshi/Documents/ForgeFabric/Factory/"/>
    </mc:Choice>
  </mc:AlternateContent>
  <xr:revisionPtr revIDLastSave="1" documentId="8_{40170365-618B-D344-BED8-880E385A6C33}" xr6:coauthVersionLast="47" xr6:coauthVersionMax="47" xr10:uidLastSave="{5DFBB5FB-20B1-4C71-9A48-E595BA9F7501}"/>
  <bookViews>
    <workbookView xWindow="0" yWindow="580" windowWidth="25600" windowHeight="15160" xr2:uid="{00000000-000D-0000-FFFF-FFFF00000000}"/>
  </bookViews>
  <sheets>
    <sheet name="Dashboard" sheetId="1" r:id="rId1"/>
    <sheet name="Orders" sheetId="2" r:id="rId2"/>
    <sheet name="WIPLog" sheetId="3" r:id="rId3"/>
    <sheet name="Stage Summary" sheetId="4" r:id="rId4"/>
    <sheet name="Delivery Log" sheetId="5" r:id="rId5"/>
    <sheet name="Lists" sheetId="6" r:id="rId6"/>
    <sheet name="Instruc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5" l="1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E16" i="4"/>
  <c r="D16" i="4"/>
  <c r="C16" i="4"/>
  <c r="B16" i="4"/>
  <c r="F16" i="4" s="1"/>
  <c r="E21" i="1" s="1"/>
  <c r="G21" i="1" s="1"/>
  <c r="E15" i="4"/>
  <c r="D15" i="4"/>
  <c r="C15" i="4"/>
  <c r="C20" i="1" s="1"/>
  <c r="B15" i="4"/>
  <c r="F15" i="4" s="1"/>
  <c r="E20" i="1" s="1"/>
  <c r="G20" i="1" s="1"/>
  <c r="E14" i="4"/>
  <c r="D14" i="4"/>
  <c r="C14" i="4"/>
  <c r="F14" i="4" s="1"/>
  <c r="E19" i="1" s="1"/>
  <c r="G19" i="1" s="1"/>
  <c r="B14" i="4"/>
  <c r="E13" i="4"/>
  <c r="D13" i="4"/>
  <c r="C13" i="4"/>
  <c r="B13" i="4"/>
  <c r="B18" i="1" s="1"/>
  <c r="E12" i="4"/>
  <c r="F12" i="4" s="1"/>
  <c r="E17" i="1" s="1"/>
  <c r="G17" i="1" s="1"/>
  <c r="D12" i="4"/>
  <c r="C12" i="4"/>
  <c r="B12" i="4"/>
  <c r="F11" i="4"/>
  <c r="E11" i="4"/>
  <c r="D11" i="4"/>
  <c r="C11" i="4"/>
  <c r="B11" i="4"/>
  <c r="B16" i="1" s="1"/>
  <c r="E10" i="4"/>
  <c r="D10" i="4"/>
  <c r="C10" i="4"/>
  <c r="C15" i="1" s="1"/>
  <c r="B10" i="4"/>
  <c r="F10" i="4" s="1"/>
  <c r="E15" i="1" s="1"/>
  <c r="G15" i="1" s="1"/>
  <c r="E9" i="4"/>
  <c r="D9" i="4"/>
  <c r="C9" i="4"/>
  <c r="F9" i="4" s="1"/>
  <c r="E14" i="1" s="1"/>
  <c r="G14" i="1" s="1"/>
  <c r="B9" i="4"/>
  <c r="E8" i="4"/>
  <c r="D13" i="1" s="1"/>
  <c r="D8" i="4"/>
  <c r="C8" i="4"/>
  <c r="C13" i="1" s="1"/>
  <c r="B8" i="4"/>
  <c r="F8" i="4" s="1"/>
  <c r="E13" i="1" s="1"/>
  <c r="G13" i="1" s="1"/>
  <c r="E7" i="4"/>
  <c r="D12" i="1" s="1"/>
  <c r="D7" i="4"/>
  <c r="C7" i="4"/>
  <c r="B7" i="4"/>
  <c r="F6" i="4"/>
  <c r="E6" i="4"/>
  <c r="D6" i="4"/>
  <c r="C6" i="4"/>
  <c r="B6" i="4"/>
  <c r="E5" i="4"/>
  <c r="D5" i="4"/>
  <c r="C5" i="4"/>
  <c r="C10" i="1" s="1"/>
  <c r="B5" i="4"/>
  <c r="F5" i="4" s="1"/>
  <c r="E10" i="1" s="1"/>
  <c r="G10" i="1" s="1"/>
  <c r="E4" i="4"/>
  <c r="D4" i="4"/>
  <c r="C4" i="4"/>
  <c r="F4" i="4" s="1"/>
  <c r="B4" i="4"/>
  <c r="L1000" i="3"/>
  <c r="E1000" i="3"/>
  <c r="D1000" i="3"/>
  <c r="L999" i="3"/>
  <c r="E999" i="3"/>
  <c r="D999" i="3"/>
  <c r="L998" i="3"/>
  <c r="E998" i="3"/>
  <c r="D998" i="3"/>
  <c r="L997" i="3"/>
  <c r="E997" i="3"/>
  <c r="D997" i="3"/>
  <c r="L996" i="3"/>
  <c r="E996" i="3"/>
  <c r="D996" i="3"/>
  <c r="L995" i="3"/>
  <c r="E995" i="3"/>
  <c r="D995" i="3"/>
  <c r="L994" i="3"/>
  <c r="E994" i="3"/>
  <c r="D994" i="3"/>
  <c r="L993" i="3"/>
  <c r="E993" i="3"/>
  <c r="D993" i="3"/>
  <c r="L992" i="3"/>
  <c r="E992" i="3"/>
  <c r="D992" i="3"/>
  <c r="L991" i="3"/>
  <c r="E991" i="3"/>
  <c r="D991" i="3"/>
  <c r="L990" i="3"/>
  <c r="E990" i="3"/>
  <c r="D990" i="3"/>
  <c r="L989" i="3"/>
  <c r="E989" i="3"/>
  <c r="D989" i="3"/>
  <c r="L988" i="3"/>
  <c r="E988" i="3"/>
  <c r="D988" i="3"/>
  <c r="L987" i="3"/>
  <c r="E987" i="3"/>
  <c r="D987" i="3"/>
  <c r="L986" i="3"/>
  <c r="E986" i="3"/>
  <c r="D986" i="3"/>
  <c r="L985" i="3"/>
  <c r="E985" i="3"/>
  <c r="D985" i="3"/>
  <c r="L984" i="3"/>
  <c r="E984" i="3"/>
  <c r="D984" i="3"/>
  <c r="L983" i="3"/>
  <c r="E983" i="3"/>
  <c r="D983" i="3"/>
  <c r="L982" i="3"/>
  <c r="E982" i="3"/>
  <c r="D982" i="3"/>
  <c r="L981" i="3"/>
  <c r="E981" i="3"/>
  <c r="D981" i="3"/>
  <c r="L980" i="3"/>
  <c r="E980" i="3"/>
  <c r="D980" i="3"/>
  <c r="L979" i="3"/>
  <c r="E979" i="3"/>
  <c r="D979" i="3"/>
  <c r="L978" i="3"/>
  <c r="E978" i="3"/>
  <c r="D978" i="3"/>
  <c r="L977" i="3"/>
  <c r="E977" i="3"/>
  <c r="D977" i="3"/>
  <c r="L976" i="3"/>
  <c r="E976" i="3"/>
  <c r="D976" i="3"/>
  <c r="L975" i="3"/>
  <c r="E975" i="3"/>
  <c r="D975" i="3"/>
  <c r="L974" i="3"/>
  <c r="E974" i="3"/>
  <c r="D974" i="3"/>
  <c r="L973" i="3"/>
  <c r="E973" i="3"/>
  <c r="D973" i="3"/>
  <c r="L972" i="3"/>
  <c r="E972" i="3"/>
  <c r="D972" i="3"/>
  <c r="L971" i="3"/>
  <c r="E971" i="3"/>
  <c r="D971" i="3"/>
  <c r="L970" i="3"/>
  <c r="E970" i="3"/>
  <c r="D970" i="3"/>
  <c r="L969" i="3"/>
  <c r="E969" i="3"/>
  <c r="D969" i="3"/>
  <c r="L968" i="3"/>
  <c r="E968" i="3"/>
  <c r="D968" i="3"/>
  <c r="L967" i="3"/>
  <c r="E967" i="3"/>
  <c r="D967" i="3"/>
  <c r="L966" i="3"/>
  <c r="E966" i="3"/>
  <c r="D966" i="3"/>
  <c r="L965" i="3"/>
  <c r="E965" i="3"/>
  <c r="D965" i="3"/>
  <c r="L964" i="3"/>
  <c r="E964" i="3"/>
  <c r="D964" i="3"/>
  <c r="L963" i="3"/>
  <c r="E963" i="3"/>
  <c r="D963" i="3"/>
  <c r="L962" i="3"/>
  <c r="E962" i="3"/>
  <c r="D962" i="3"/>
  <c r="L961" i="3"/>
  <c r="E961" i="3"/>
  <c r="D961" i="3"/>
  <c r="L960" i="3"/>
  <c r="E960" i="3"/>
  <c r="D960" i="3"/>
  <c r="L959" i="3"/>
  <c r="E959" i="3"/>
  <c r="D959" i="3"/>
  <c r="L958" i="3"/>
  <c r="E958" i="3"/>
  <c r="D958" i="3"/>
  <c r="L957" i="3"/>
  <c r="E957" i="3"/>
  <c r="D957" i="3"/>
  <c r="L956" i="3"/>
  <c r="E956" i="3"/>
  <c r="D956" i="3"/>
  <c r="L955" i="3"/>
  <c r="E955" i="3"/>
  <c r="D955" i="3"/>
  <c r="L954" i="3"/>
  <c r="E954" i="3"/>
  <c r="D954" i="3"/>
  <c r="L953" i="3"/>
  <c r="E953" i="3"/>
  <c r="D953" i="3"/>
  <c r="L952" i="3"/>
  <c r="E952" i="3"/>
  <c r="D952" i="3"/>
  <c r="L951" i="3"/>
  <c r="E951" i="3"/>
  <c r="D951" i="3"/>
  <c r="L950" i="3"/>
  <c r="E950" i="3"/>
  <c r="D950" i="3"/>
  <c r="L949" i="3"/>
  <c r="E949" i="3"/>
  <c r="D949" i="3"/>
  <c r="L948" i="3"/>
  <c r="E948" i="3"/>
  <c r="D948" i="3"/>
  <c r="L947" i="3"/>
  <c r="E947" i="3"/>
  <c r="D947" i="3"/>
  <c r="L946" i="3"/>
  <c r="E946" i="3"/>
  <c r="D946" i="3"/>
  <c r="L945" i="3"/>
  <c r="E945" i="3"/>
  <c r="D945" i="3"/>
  <c r="L944" i="3"/>
  <c r="E944" i="3"/>
  <c r="D944" i="3"/>
  <c r="L943" i="3"/>
  <c r="E943" i="3"/>
  <c r="D943" i="3"/>
  <c r="L942" i="3"/>
  <c r="E942" i="3"/>
  <c r="D942" i="3"/>
  <c r="L941" i="3"/>
  <c r="E941" i="3"/>
  <c r="D941" i="3"/>
  <c r="L940" i="3"/>
  <c r="E940" i="3"/>
  <c r="D940" i="3"/>
  <c r="L939" i="3"/>
  <c r="E939" i="3"/>
  <c r="D939" i="3"/>
  <c r="L938" i="3"/>
  <c r="E938" i="3"/>
  <c r="D938" i="3"/>
  <c r="L937" i="3"/>
  <c r="E937" i="3"/>
  <c r="D937" i="3"/>
  <c r="L936" i="3"/>
  <c r="E936" i="3"/>
  <c r="D936" i="3"/>
  <c r="L935" i="3"/>
  <c r="E935" i="3"/>
  <c r="D935" i="3"/>
  <c r="L934" i="3"/>
  <c r="E934" i="3"/>
  <c r="D934" i="3"/>
  <c r="L933" i="3"/>
  <c r="E933" i="3"/>
  <c r="D933" i="3"/>
  <c r="L932" i="3"/>
  <c r="E932" i="3"/>
  <c r="D932" i="3"/>
  <c r="L931" i="3"/>
  <c r="E931" i="3"/>
  <c r="D931" i="3"/>
  <c r="L930" i="3"/>
  <c r="E930" i="3"/>
  <c r="D930" i="3"/>
  <c r="L929" i="3"/>
  <c r="E929" i="3"/>
  <c r="D929" i="3"/>
  <c r="L928" i="3"/>
  <c r="E928" i="3"/>
  <c r="D928" i="3"/>
  <c r="L927" i="3"/>
  <c r="E927" i="3"/>
  <c r="D927" i="3"/>
  <c r="L926" i="3"/>
  <c r="E926" i="3"/>
  <c r="D926" i="3"/>
  <c r="L925" i="3"/>
  <c r="E925" i="3"/>
  <c r="D925" i="3"/>
  <c r="L924" i="3"/>
  <c r="E924" i="3"/>
  <c r="D924" i="3"/>
  <c r="L923" i="3"/>
  <c r="E923" i="3"/>
  <c r="D923" i="3"/>
  <c r="L922" i="3"/>
  <c r="E922" i="3"/>
  <c r="D922" i="3"/>
  <c r="L921" i="3"/>
  <c r="E921" i="3"/>
  <c r="D921" i="3"/>
  <c r="L920" i="3"/>
  <c r="E920" i="3"/>
  <c r="D920" i="3"/>
  <c r="L919" i="3"/>
  <c r="E919" i="3"/>
  <c r="D919" i="3"/>
  <c r="L918" i="3"/>
  <c r="E918" i="3"/>
  <c r="D918" i="3"/>
  <c r="L917" i="3"/>
  <c r="E917" i="3"/>
  <c r="D917" i="3"/>
  <c r="L916" i="3"/>
  <c r="E916" i="3"/>
  <c r="D916" i="3"/>
  <c r="L915" i="3"/>
  <c r="E915" i="3"/>
  <c r="D915" i="3"/>
  <c r="L914" i="3"/>
  <c r="E914" i="3"/>
  <c r="D914" i="3"/>
  <c r="L913" i="3"/>
  <c r="E913" i="3"/>
  <c r="D913" i="3"/>
  <c r="L912" i="3"/>
  <c r="E912" i="3"/>
  <c r="D912" i="3"/>
  <c r="L911" i="3"/>
  <c r="E911" i="3"/>
  <c r="D911" i="3"/>
  <c r="L910" i="3"/>
  <c r="E910" i="3"/>
  <c r="D910" i="3"/>
  <c r="L909" i="3"/>
  <c r="E909" i="3"/>
  <c r="D909" i="3"/>
  <c r="L908" i="3"/>
  <c r="E908" i="3"/>
  <c r="D908" i="3"/>
  <c r="L907" i="3"/>
  <c r="E907" i="3"/>
  <c r="D907" i="3"/>
  <c r="L906" i="3"/>
  <c r="E906" i="3"/>
  <c r="D906" i="3"/>
  <c r="L905" i="3"/>
  <c r="E905" i="3"/>
  <c r="D905" i="3"/>
  <c r="L904" i="3"/>
  <c r="E904" i="3"/>
  <c r="D904" i="3"/>
  <c r="L903" i="3"/>
  <c r="E903" i="3"/>
  <c r="D903" i="3"/>
  <c r="L902" i="3"/>
  <c r="E902" i="3"/>
  <c r="D902" i="3"/>
  <c r="L901" i="3"/>
  <c r="E901" i="3"/>
  <c r="D901" i="3"/>
  <c r="L900" i="3"/>
  <c r="E900" i="3"/>
  <c r="D900" i="3"/>
  <c r="L899" i="3"/>
  <c r="E899" i="3"/>
  <c r="D899" i="3"/>
  <c r="L898" i="3"/>
  <c r="E898" i="3"/>
  <c r="D898" i="3"/>
  <c r="L897" i="3"/>
  <c r="E897" i="3"/>
  <c r="D897" i="3"/>
  <c r="L896" i="3"/>
  <c r="E896" i="3"/>
  <c r="D896" i="3"/>
  <c r="L895" i="3"/>
  <c r="E895" i="3"/>
  <c r="D895" i="3"/>
  <c r="L894" i="3"/>
  <c r="E894" i="3"/>
  <c r="D894" i="3"/>
  <c r="L893" i="3"/>
  <c r="E893" i="3"/>
  <c r="D893" i="3"/>
  <c r="L892" i="3"/>
  <c r="E892" i="3"/>
  <c r="D892" i="3"/>
  <c r="L891" i="3"/>
  <c r="E891" i="3"/>
  <c r="D891" i="3"/>
  <c r="L890" i="3"/>
  <c r="E890" i="3"/>
  <c r="D890" i="3"/>
  <c r="L889" i="3"/>
  <c r="E889" i="3"/>
  <c r="D889" i="3"/>
  <c r="L888" i="3"/>
  <c r="E888" i="3"/>
  <c r="D888" i="3"/>
  <c r="L887" i="3"/>
  <c r="E887" i="3"/>
  <c r="D887" i="3"/>
  <c r="L886" i="3"/>
  <c r="E886" i="3"/>
  <c r="D886" i="3"/>
  <c r="L885" i="3"/>
  <c r="E885" i="3"/>
  <c r="D885" i="3"/>
  <c r="L884" i="3"/>
  <c r="E884" i="3"/>
  <c r="D884" i="3"/>
  <c r="L883" i="3"/>
  <c r="E883" i="3"/>
  <c r="D883" i="3"/>
  <c r="L882" i="3"/>
  <c r="E882" i="3"/>
  <c r="D882" i="3"/>
  <c r="L881" i="3"/>
  <c r="E881" i="3"/>
  <c r="D881" i="3"/>
  <c r="L880" i="3"/>
  <c r="E880" i="3"/>
  <c r="D880" i="3"/>
  <c r="L879" i="3"/>
  <c r="E879" i="3"/>
  <c r="D879" i="3"/>
  <c r="L878" i="3"/>
  <c r="E878" i="3"/>
  <c r="D878" i="3"/>
  <c r="L877" i="3"/>
  <c r="E877" i="3"/>
  <c r="D877" i="3"/>
  <c r="L876" i="3"/>
  <c r="E876" i="3"/>
  <c r="D876" i="3"/>
  <c r="L875" i="3"/>
  <c r="E875" i="3"/>
  <c r="D875" i="3"/>
  <c r="L874" i="3"/>
  <c r="E874" i="3"/>
  <c r="D874" i="3"/>
  <c r="L873" i="3"/>
  <c r="E873" i="3"/>
  <c r="D873" i="3"/>
  <c r="L872" i="3"/>
  <c r="E872" i="3"/>
  <c r="D872" i="3"/>
  <c r="L871" i="3"/>
  <c r="E871" i="3"/>
  <c r="D871" i="3"/>
  <c r="L870" i="3"/>
  <c r="E870" i="3"/>
  <c r="D870" i="3"/>
  <c r="L869" i="3"/>
  <c r="E869" i="3"/>
  <c r="D869" i="3"/>
  <c r="L868" i="3"/>
  <c r="E868" i="3"/>
  <c r="D868" i="3"/>
  <c r="L867" i="3"/>
  <c r="E867" i="3"/>
  <c r="D867" i="3"/>
  <c r="L866" i="3"/>
  <c r="E866" i="3"/>
  <c r="D866" i="3"/>
  <c r="L865" i="3"/>
  <c r="E865" i="3"/>
  <c r="D865" i="3"/>
  <c r="L864" i="3"/>
  <c r="E864" i="3"/>
  <c r="D864" i="3"/>
  <c r="L863" i="3"/>
  <c r="E863" i="3"/>
  <c r="D863" i="3"/>
  <c r="L862" i="3"/>
  <c r="E862" i="3"/>
  <c r="D862" i="3"/>
  <c r="L861" i="3"/>
  <c r="E861" i="3"/>
  <c r="D861" i="3"/>
  <c r="L860" i="3"/>
  <c r="E860" i="3"/>
  <c r="D860" i="3"/>
  <c r="L859" i="3"/>
  <c r="E859" i="3"/>
  <c r="D859" i="3"/>
  <c r="L858" i="3"/>
  <c r="E858" i="3"/>
  <c r="D858" i="3"/>
  <c r="L857" i="3"/>
  <c r="E857" i="3"/>
  <c r="D857" i="3"/>
  <c r="L856" i="3"/>
  <c r="E856" i="3"/>
  <c r="D856" i="3"/>
  <c r="L855" i="3"/>
  <c r="E855" i="3"/>
  <c r="D855" i="3"/>
  <c r="L854" i="3"/>
  <c r="E854" i="3"/>
  <c r="D854" i="3"/>
  <c r="L853" i="3"/>
  <c r="E853" i="3"/>
  <c r="D853" i="3"/>
  <c r="L852" i="3"/>
  <c r="E852" i="3"/>
  <c r="D852" i="3"/>
  <c r="L851" i="3"/>
  <c r="E851" i="3"/>
  <c r="D851" i="3"/>
  <c r="L850" i="3"/>
  <c r="E850" i="3"/>
  <c r="D850" i="3"/>
  <c r="L849" i="3"/>
  <c r="E849" i="3"/>
  <c r="D849" i="3"/>
  <c r="L848" i="3"/>
  <c r="E848" i="3"/>
  <c r="D848" i="3"/>
  <c r="L847" i="3"/>
  <c r="E847" i="3"/>
  <c r="D847" i="3"/>
  <c r="L846" i="3"/>
  <c r="E846" i="3"/>
  <c r="D846" i="3"/>
  <c r="L845" i="3"/>
  <c r="E845" i="3"/>
  <c r="D845" i="3"/>
  <c r="L844" i="3"/>
  <c r="E844" i="3"/>
  <c r="D844" i="3"/>
  <c r="L843" i="3"/>
  <c r="E843" i="3"/>
  <c r="D843" i="3"/>
  <c r="L842" i="3"/>
  <c r="E842" i="3"/>
  <c r="D842" i="3"/>
  <c r="L841" i="3"/>
  <c r="E841" i="3"/>
  <c r="D841" i="3"/>
  <c r="L840" i="3"/>
  <c r="E840" i="3"/>
  <c r="D840" i="3"/>
  <c r="L839" i="3"/>
  <c r="E839" i="3"/>
  <c r="D839" i="3"/>
  <c r="L838" i="3"/>
  <c r="E838" i="3"/>
  <c r="D838" i="3"/>
  <c r="L837" i="3"/>
  <c r="E837" i="3"/>
  <c r="D837" i="3"/>
  <c r="L836" i="3"/>
  <c r="E836" i="3"/>
  <c r="D836" i="3"/>
  <c r="L835" i="3"/>
  <c r="E835" i="3"/>
  <c r="D835" i="3"/>
  <c r="L834" i="3"/>
  <c r="E834" i="3"/>
  <c r="D834" i="3"/>
  <c r="L833" i="3"/>
  <c r="E833" i="3"/>
  <c r="D833" i="3"/>
  <c r="L832" i="3"/>
  <c r="E832" i="3"/>
  <c r="D832" i="3"/>
  <c r="L831" i="3"/>
  <c r="E831" i="3"/>
  <c r="D831" i="3"/>
  <c r="L830" i="3"/>
  <c r="E830" i="3"/>
  <c r="D830" i="3"/>
  <c r="L829" i="3"/>
  <c r="E829" i="3"/>
  <c r="D829" i="3"/>
  <c r="L828" i="3"/>
  <c r="E828" i="3"/>
  <c r="D828" i="3"/>
  <c r="L827" i="3"/>
  <c r="E827" i="3"/>
  <c r="D827" i="3"/>
  <c r="L826" i="3"/>
  <c r="E826" i="3"/>
  <c r="D826" i="3"/>
  <c r="L825" i="3"/>
  <c r="E825" i="3"/>
  <c r="D825" i="3"/>
  <c r="L824" i="3"/>
  <c r="E824" i="3"/>
  <c r="D824" i="3"/>
  <c r="L823" i="3"/>
  <c r="E823" i="3"/>
  <c r="D823" i="3"/>
  <c r="L822" i="3"/>
  <c r="E822" i="3"/>
  <c r="D822" i="3"/>
  <c r="L821" i="3"/>
  <c r="E821" i="3"/>
  <c r="D821" i="3"/>
  <c r="L820" i="3"/>
  <c r="E820" i="3"/>
  <c r="D820" i="3"/>
  <c r="L819" i="3"/>
  <c r="E819" i="3"/>
  <c r="D819" i="3"/>
  <c r="L818" i="3"/>
  <c r="E818" i="3"/>
  <c r="D818" i="3"/>
  <c r="L817" i="3"/>
  <c r="E817" i="3"/>
  <c r="D817" i="3"/>
  <c r="L816" i="3"/>
  <c r="E816" i="3"/>
  <c r="D816" i="3"/>
  <c r="L815" i="3"/>
  <c r="E815" i="3"/>
  <c r="D815" i="3"/>
  <c r="L814" i="3"/>
  <c r="E814" i="3"/>
  <c r="D814" i="3"/>
  <c r="L813" i="3"/>
  <c r="E813" i="3"/>
  <c r="D813" i="3"/>
  <c r="L812" i="3"/>
  <c r="E812" i="3"/>
  <c r="D812" i="3"/>
  <c r="L811" i="3"/>
  <c r="E811" i="3"/>
  <c r="D811" i="3"/>
  <c r="L810" i="3"/>
  <c r="E810" i="3"/>
  <c r="D810" i="3"/>
  <c r="L809" i="3"/>
  <c r="E809" i="3"/>
  <c r="D809" i="3"/>
  <c r="L808" i="3"/>
  <c r="E808" i="3"/>
  <c r="D808" i="3"/>
  <c r="L807" i="3"/>
  <c r="E807" i="3"/>
  <c r="D807" i="3"/>
  <c r="L806" i="3"/>
  <c r="E806" i="3"/>
  <c r="D806" i="3"/>
  <c r="L805" i="3"/>
  <c r="E805" i="3"/>
  <c r="D805" i="3"/>
  <c r="L804" i="3"/>
  <c r="E804" i="3"/>
  <c r="D804" i="3"/>
  <c r="L803" i="3"/>
  <c r="E803" i="3"/>
  <c r="D803" i="3"/>
  <c r="L802" i="3"/>
  <c r="E802" i="3"/>
  <c r="D802" i="3"/>
  <c r="L801" i="3"/>
  <c r="E801" i="3"/>
  <c r="D801" i="3"/>
  <c r="L800" i="3"/>
  <c r="E800" i="3"/>
  <c r="D800" i="3"/>
  <c r="L799" i="3"/>
  <c r="E799" i="3"/>
  <c r="D799" i="3"/>
  <c r="L798" i="3"/>
  <c r="E798" i="3"/>
  <c r="D798" i="3"/>
  <c r="L797" i="3"/>
  <c r="E797" i="3"/>
  <c r="D797" i="3"/>
  <c r="L796" i="3"/>
  <c r="E796" i="3"/>
  <c r="D796" i="3"/>
  <c r="L795" i="3"/>
  <c r="E795" i="3"/>
  <c r="D795" i="3"/>
  <c r="L794" i="3"/>
  <c r="E794" i="3"/>
  <c r="D794" i="3"/>
  <c r="L793" i="3"/>
  <c r="E793" i="3"/>
  <c r="D793" i="3"/>
  <c r="L792" i="3"/>
  <c r="E792" i="3"/>
  <c r="D792" i="3"/>
  <c r="L791" i="3"/>
  <c r="E791" i="3"/>
  <c r="D791" i="3"/>
  <c r="L790" i="3"/>
  <c r="E790" i="3"/>
  <c r="D790" i="3"/>
  <c r="L789" i="3"/>
  <c r="E789" i="3"/>
  <c r="D789" i="3"/>
  <c r="L788" i="3"/>
  <c r="E788" i="3"/>
  <c r="D788" i="3"/>
  <c r="L787" i="3"/>
  <c r="E787" i="3"/>
  <c r="D787" i="3"/>
  <c r="L786" i="3"/>
  <c r="E786" i="3"/>
  <c r="D786" i="3"/>
  <c r="L785" i="3"/>
  <c r="E785" i="3"/>
  <c r="D785" i="3"/>
  <c r="L784" i="3"/>
  <c r="E784" i="3"/>
  <c r="D784" i="3"/>
  <c r="L783" i="3"/>
  <c r="E783" i="3"/>
  <c r="D783" i="3"/>
  <c r="L782" i="3"/>
  <c r="E782" i="3"/>
  <c r="D782" i="3"/>
  <c r="L781" i="3"/>
  <c r="E781" i="3"/>
  <c r="D781" i="3"/>
  <c r="L780" i="3"/>
  <c r="E780" i="3"/>
  <c r="D780" i="3"/>
  <c r="L779" i="3"/>
  <c r="E779" i="3"/>
  <c r="D779" i="3"/>
  <c r="L778" i="3"/>
  <c r="E778" i="3"/>
  <c r="D778" i="3"/>
  <c r="L777" i="3"/>
  <c r="E777" i="3"/>
  <c r="D777" i="3"/>
  <c r="L776" i="3"/>
  <c r="E776" i="3"/>
  <c r="D776" i="3"/>
  <c r="L775" i="3"/>
  <c r="E775" i="3"/>
  <c r="D775" i="3"/>
  <c r="L774" i="3"/>
  <c r="E774" i="3"/>
  <c r="D774" i="3"/>
  <c r="L773" i="3"/>
  <c r="E773" i="3"/>
  <c r="D773" i="3"/>
  <c r="L772" i="3"/>
  <c r="E772" i="3"/>
  <c r="D772" i="3"/>
  <c r="L771" i="3"/>
  <c r="E771" i="3"/>
  <c r="D771" i="3"/>
  <c r="L770" i="3"/>
  <c r="E770" i="3"/>
  <c r="D770" i="3"/>
  <c r="L769" i="3"/>
  <c r="E769" i="3"/>
  <c r="D769" i="3"/>
  <c r="L768" i="3"/>
  <c r="E768" i="3"/>
  <c r="D768" i="3"/>
  <c r="L767" i="3"/>
  <c r="E767" i="3"/>
  <c r="D767" i="3"/>
  <c r="L766" i="3"/>
  <c r="E766" i="3"/>
  <c r="D766" i="3"/>
  <c r="L765" i="3"/>
  <c r="E765" i="3"/>
  <c r="D765" i="3"/>
  <c r="L764" i="3"/>
  <c r="E764" i="3"/>
  <c r="D764" i="3"/>
  <c r="L763" i="3"/>
  <c r="E763" i="3"/>
  <c r="D763" i="3"/>
  <c r="L762" i="3"/>
  <c r="E762" i="3"/>
  <c r="D762" i="3"/>
  <c r="L761" i="3"/>
  <c r="E761" i="3"/>
  <c r="D761" i="3"/>
  <c r="L760" i="3"/>
  <c r="E760" i="3"/>
  <c r="D760" i="3"/>
  <c r="L759" i="3"/>
  <c r="E759" i="3"/>
  <c r="D759" i="3"/>
  <c r="L758" i="3"/>
  <c r="E758" i="3"/>
  <c r="D758" i="3"/>
  <c r="L757" i="3"/>
  <c r="E757" i="3"/>
  <c r="D757" i="3"/>
  <c r="L756" i="3"/>
  <c r="E756" i="3"/>
  <c r="D756" i="3"/>
  <c r="L755" i="3"/>
  <c r="E755" i="3"/>
  <c r="D755" i="3"/>
  <c r="L754" i="3"/>
  <c r="E754" i="3"/>
  <c r="D754" i="3"/>
  <c r="L753" i="3"/>
  <c r="E753" i="3"/>
  <c r="D753" i="3"/>
  <c r="L752" i="3"/>
  <c r="E752" i="3"/>
  <c r="D752" i="3"/>
  <c r="L751" i="3"/>
  <c r="E751" i="3"/>
  <c r="D751" i="3"/>
  <c r="L750" i="3"/>
  <c r="E750" i="3"/>
  <c r="D750" i="3"/>
  <c r="L749" i="3"/>
  <c r="E749" i="3"/>
  <c r="D749" i="3"/>
  <c r="L748" i="3"/>
  <c r="E748" i="3"/>
  <c r="D748" i="3"/>
  <c r="L747" i="3"/>
  <c r="E747" i="3"/>
  <c r="D747" i="3"/>
  <c r="L746" i="3"/>
  <c r="E746" i="3"/>
  <c r="D746" i="3"/>
  <c r="L745" i="3"/>
  <c r="E745" i="3"/>
  <c r="D745" i="3"/>
  <c r="L744" i="3"/>
  <c r="E744" i="3"/>
  <c r="D744" i="3"/>
  <c r="L743" i="3"/>
  <c r="E743" i="3"/>
  <c r="D743" i="3"/>
  <c r="L742" i="3"/>
  <c r="E742" i="3"/>
  <c r="D742" i="3"/>
  <c r="L741" i="3"/>
  <c r="E741" i="3"/>
  <c r="D741" i="3"/>
  <c r="L740" i="3"/>
  <c r="E740" i="3"/>
  <c r="D740" i="3"/>
  <c r="L739" i="3"/>
  <c r="E739" i="3"/>
  <c r="D739" i="3"/>
  <c r="L738" i="3"/>
  <c r="E738" i="3"/>
  <c r="D738" i="3"/>
  <c r="L737" i="3"/>
  <c r="E737" i="3"/>
  <c r="D737" i="3"/>
  <c r="L736" i="3"/>
  <c r="E736" i="3"/>
  <c r="D736" i="3"/>
  <c r="L735" i="3"/>
  <c r="E735" i="3"/>
  <c r="D735" i="3"/>
  <c r="L734" i="3"/>
  <c r="E734" i="3"/>
  <c r="D734" i="3"/>
  <c r="L733" i="3"/>
  <c r="E733" i="3"/>
  <c r="D733" i="3"/>
  <c r="L732" i="3"/>
  <c r="E732" i="3"/>
  <c r="D732" i="3"/>
  <c r="L731" i="3"/>
  <c r="E731" i="3"/>
  <c r="D731" i="3"/>
  <c r="L730" i="3"/>
  <c r="E730" i="3"/>
  <c r="D730" i="3"/>
  <c r="L729" i="3"/>
  <c r="E729" i="3"/>
  <c r="D729" i="3"/>
  <c r="L728" i="3"/>
  <c r="E728" i="3"/>
  <c r="D728" i="3"/>
  <c r="L727" i="3"/>
  <c r="E727" i="3"/>
  <c r="D727" i="3"/>
  <c r="L726" i="3"/>
  <c r="E726" i="3"/>
  <c r="D726" i="3"/>
  <c r="L725" i="3"/>
  <c r="E725" i="3"/>
  <c r="D725" i="3"/>
  <c r="L724" i="3"/>
  <c r="E724" i="3"/>
  <c r="D724" i="3"/>
  <c r="L723" i="3"/>
  <c r="E723" i="3"/>
  <c r="D723" i="3"/>
  <c r="L722" i="3"/>
  <c r="E722" i="3"/>
  <c r="D722" i="3"/>
  <c r="L721" i="3"/>
  <c r="E721" i="3"/>
  <c r="D721" i="3"/>
  <c r="L720" i="3"/>
  <c r="E720" i="3"/>
  <c r="D720" i="3"/>
  <c r="L719" i="3"/>
  <c r="E719" i="3"/>
  <c r="D719" i="3"/>
  <c r="L718" i="3"/>
  <c r="E718" i="3"/>
  <c r="D718" i="3"/>
  <c r="L717" i="3"/>
  <c r="E717" i="3"/>
  <c r="D717" i="3"/>
  <c r="L716" i="3"/>
  <c r="E716" i="3"/>
  <c r="D716" i="3"/>
  <c r="L715" i="3"/>
  <c r="E715" i="3"/>
  <c r="D715" i="3"/>
  <c r="L714" i="3"/>
  <c r="E714" i="3"/>
  <c r="D714" i="3"/>
  <c r="L713" i="3"/>
  <c r="E713" i="3"/>
  <c r="D713" i="3"/>
  <c r="L712" i="3"/>
  <c r="E712" i="3"/>
  <c r="D712" i="3"/>
  <c r="L711" i="3"/>
  <c r="E711" i="3"/>
  <c r="D711" i="3"/>
  <c r="L710" i="3"/>
  <c r="E710" i="3"/>
  <c r="D710" i="3"/>
  <c r="L709" i="3"/>
  <c r="E709" i="3"/>
  <c r="D709" i="3"/>
  <c r="L708" i="3"/>
  <c r="E708" i="3"/>
  <c r="D708" i="3"/>
  <c r="L707" i="3"/>
  <c r="E707" i="3"/>
  <c r="D707" i="3"/>
  <c r="L706" i="3"/>
  <c r="E706" i="3"/>
  <c r="D706" i="3"/>
  <c r="L705" i="3"/>
  <c r="E705" i="3"/>
  <c r="D705" i="3"/>
  <c r="L704" i="3"/>
  <c r="E704" i="3"/>
  <c r="D704" i="3"/>
  <c r="L703" i="3"/>
  <c r="E703" i="3"/>
  <c r="D703" i="3"/>
  <c r="L702" i="3"/>
  <c r="E702" i="3"/>
  <c r="D702" i="3"/>
  <c r="L701" i="3"/>
  <c r="E701" i="3"/>
  <c r="D701" i="3"/>
  <c r="L700" i="3"/>
  <c r="E700" i="3"/>
  <c r="D700" i="3"/>
  <c r="L699" i="3"/>
  <c r="E699" i="3"/>
  <c r="D699" i="3"/>
  <c r="L698" i="3"/>
  <c r="E698" i="3"/>
  <c r="D698" i="3"/>
  <c r="L697" i="3"/>
  <c r="E697" i="3"/>
  <c r="D697" i="3"/>
  <c r="L696" i="3"/>
  <c r="E696" i="3"/>
  <c r="D696" i="3"/>
  <c r="L695" i="3"/>
  <c r="E695" i="3"/>
  <c r="D695" i="3"/>
  <c r="L694" i="3"/>
  <c r="E694" i="3"/>
  <c r="D694" i="3"/>
  <c r="L693" i="3"/>
  <c r="E693" i="3"/>
  <c r="D693" i="3"/>
  <c r="L692" i="3"/>
  <c r="E692" i="3"/>
  <c r="D692" i="3"/>
  <c r="L691" i="3"/>
  <c r="E691" i="3"/>
  <c r="D691" i="3"/>
  <c r="L690" i="3"/>
  <c r="E690" i="3"/>
  <c r="D690" i="3"/>
  <c r="L689" i="3"/>
  <c r="E689" i="3"/>
  <c r="D689" i="3"/>
  <c r="L688" i="3"/>
  <c r="E688" i="3"/>
  <c r="D688" i="3"/>
  <c r="L687" i="3"/>
  <c r="E687" i="3"/>
  <c r="D687" i="3"/>
  <c r="L686" i="3"/>
  <c r="E686" i="3"/>
  <c r="D686" i="3"/>
  <c r="L685" i="3"/>
  <c r="E685" i="3"/>
  <c r="D685" i="3"/>
  <c r="L684" i="3"/>
  <c r="E684" i="3"/>
  <c r="D684" i="3"/>
  <c r="L683" i="3"/>
  <c r="E683" i="3"/>
  <c r="D683" i="3"/>
  <c r="L682" i="3"/>
  <c r="E682" i="3"/>
  <c r="D682" i="3"/>
  <c r="L681" i="3"/>
  <c r="E681" i="3"/>
  <c r="D681" i="3"/>
  <c r="L680" i="3"/>
  <c r="E680" i="3"/>
  <c r="D680" i="3"/>
  <c r="L679" i="3"/>
  <c r="E679" i="3"/>
  <c r="D679" i="3"/>
  <c r="L678" i="3"/>
  <c r="E678" i="3"/>
  <c r="D678" i="3"/>
  <c r="L677" i="3"/>
  <c r="E677" i="3"/>
  <c r="D677" i="3"/>
  <c r="L676" i="3"/>
  <c r="E676" i="3"/>
  <c r="D676" i="3"/>
  <c r="L675" i="3"/>
  <c r="E675" i="3"/>
  <c r="D675" i="3"/>
  <c r="L674" i="3"/>
  <c r="E674" i="3"/>
  <c r="D674" i="3"/>
  <c r="L673" i="3"/>
  <c r="E673" i="3"/>
  <c r="D673" i="3"/>
  <c r="L672" i="3"/>
  <c r="E672" i="3"/>
  <c r="D672" i="3"/>
  <c r="L671" i="3"/>
  <c r="E671" i="3"/>
  <c r="D671" i="3"/>
  <c r="L670" i="3"/>
  <c r="E670" i="3"/>
  <c r="D670" i="3"/>
  <c r="L669" i="3"/>
  <c r="E669" i="3"/>
  <c r="D669" i="3"/>
  <c r="L668" i="3"/>
  <c r="E668" i="3"/>
  <c r="D668" i="3"/>
  <c r="L667" i="3"/>
  <c r="E667" i="3"/>
  <c r="D667" i="3"/>
  <c r="L666" i="3"/>
  <c r="E666" i="3"/>
  <c r="D666" i="3"/>
  <c r="L665" i="3"/>
  <c r="E665" i="3"/>
  <c r="D665" i="3"/>
  <c r="L664" i="3"/>
  <c r="E664" i="3"/>
  <c r="D664" i="3"/>
  <c r="L663" i="3"/>
  <c r="E663" i="3"/>
  <c r="D663" i="3"/>
  <c r="L662" i="3"/>
  <c r="E662" i="3"/>
  <c r="D662" i="3"/>
  <c r="L661" i="3"/>
  <c r="E661" i="3"/>
  <c r="D661" i="3"/>
  <c r="L660" i="3"/>
  <c r="E660" i="3"/>
  <c r="D660" i="3"/>
  <c r="L659" i="3"/>
  <c r="E659" i="3"/>
  <c r="D659" i="3"/>
  <c r="L658" i="3"/>
  <c r="E658" i="3"/>
  <c r="D658" i="3"/>
  <c r="L657" i="3"/>
  <c r="E657" i="3"/>
  <c r="D657" i="3"/>
  <c r="L656" i="3"/>
  <c r="E656" i="3"/>
  <c r="D656" i="3"/>
  <c r="L655" i="3"/>
  <c r="E655" i="3"/>
  <c r="D655" i="3"/>
  <c r="L654" i="3"/>
  <c r="E654" i="3"/>
  <c r="D654" i="3"/>
  <c r="L653" i="3"/>
  <c r="E653" i="3"/>
  <c r="D653" i="3"/>
  <c r="L652" i="3"/>
  <c r="E652" i="3"/>
  <c r="D652" i="3"/>
  <c r="L651" i="3"/>
  <c r="E651" i="3"/>
  <c r="D651" i="3"/>
  <c r="L650" i="3"/>
  <c r="E650" i="3"/>
  <c r="D650" i="3"/>
  <c r="L649" i="3"/>
  <c r="E649" i="3"/>
  <c r="D649" i="3"/>
  <c r="L648" i="3"/>
  <c r="E648" i="3"/>
  <c r="D648" i="3"/>
  <c r="L647" i="3"/>
  <c r="E647" i="3"/>
  <c r="D647" i="3"/>
  <c r="L646" i="3"/>
  <c r="E646" i="3"/>
  <c r="D646" i="3"/>
  <c r="L645" i="3"/>
  <c r="E645" i="3"/>
  <c r="D645" i="3"/>
  <c r="L644" i="3"/>
  <c r="E644" i="3"/>
  <c r="D644" i="3"/>
  <c r="L643" i="3"/>
  <c r="E643" i="3"/>
  <c r="D643" i="3"/>
  <c r="L642" i="3"/>
  <c r="E642" i="3"/>
  <c r="D642" i="3"/>
  <c r="L641" i="3"/>
  <c r="E641" i="3"/>
  <c r="D641" i="3"/>
  <c r="L640" i="3"/>
  <c r="E640" i="3"/>
  <c r="D640" i="3"/>
  <c r="L639" i="3"/>
  <c r="E639" i="3"/>
  <c r="D639" i="3"/>
  <c r="L638" i="3"/>
  <c r="E638" i="3"/>
  <c r="D638" i="3"/>
  <c r="L637" i="3"/>
  <c r="E637" i="3"/>
  <c r="D637" i="3"/>
  <c r="L636" i="3"/>
  <c r="E636" i="3"/>
  <c r="D636" i="3"/>
  <c r="L635" i="3"/>
  <c r="E635" i="3"/>
  <c r="D635" i="3"/>
  <c r="L634" i="3"/>
  <c r="E634" i="3"/>
  <c r="D634" i="3"/>
  <c r="L633" i="3"/>
  <c r="E633" i="3"/>
  <c r="D633" i="3"/>
  <c r="L632" i="3"/>
  <c r="E632" i="3"/>
  <c r="D632" i="3"/>
  <c r="L631" i="3"/>
  <c r="E631" i="3"/>
  <c r="D631" i="3"/>
  <c r="L630" i="3"/>
  <c r="E630" i="3"/>
  <c r="D630" i="3"/>
  <c r="L629" i="3"/>
  <c r="E629" i="3"/>
  <c r="D629" i="3"/>
  <c r="L628" i="3"/>
  <c r="E628" i="3"/>
  <c r="D628" i="3"/>
  <c r="L627" i="3"/>
  <c r="E627" i="3"/>
  <c r="D627" i="3"/>
  <c r="L626" i="3"/>
  <c r="E626" i="3"/>
  <c r="D626" i="3"/>
  <c r="L625" i="3"/>
  <c r="E625" i="3"/>
  <c r="D625" i="3"/>
  <c r="L624" i="3"/>
  <c r="E624" i="3"/>
  <c r="D624" i="3"/>
  <c r="L623" i="3"/>
  <c r="E623" i="3"/>
  <c r="D623" i="3"/>
  <c r="L622" i="3"/>
  <c r="E622" i="3"/>
  <c r="D622" i="3"/>
  <c r="L621" i="3"/>
  <c r="E621" i="3"/>
  <c r="D621" i="3"/>
  <c r="L620" i="3"/>
  <c r="E620" i="3"/>
  <c r="D620" i="3"/>
  <c r="L619" i="3"/>
  <c r="E619" i="3"/>
  <c r="D619" i="3"/>
  <c r="L618" i="3"/>
  <c r="E618" i="3"/>
  <c r="D618" i="3"/>
  <c r="L617" i="3"/>
  <c r="E617" i="3"/>
  <c r="D617" i="3"/>
  <c r="L616" i="3"/>
  <c r="E616" i="3"/>
  <c r="D616" i="3"/>
  <c r="L615" i="3"/>
  <c r="E615" i="3"/>
  <c r="D615" i="3"/>
  <c r="L614" i="3"/>
  <c r="E614" i="3"/>
  <c r="D614" i="3"/>
  <c r="L613" i="3"/>
  <c r="E613" i="3"/>
  <c r="D613" i="3"/>
  <c r="L612" i="3"/>
  <c r="E612" i="3"/>
  <c r="D612" i="3"/>
  <c r="L611" i="3"/>
  <c r="E611" i="3"/>
  <c r="D611" i="3"/>
  <c r="L610" i="3"/>
  <c r="E610" i="3"/>
  <c r="D610" i="3"/>
  <c r="L609" i="3"/>
  <c r="E609" i="3"/>
  <c r="D609" i="3"/>
  <c r="L608" i="3"/>
  <c r="E608" i="3"/>
  <c r="D608" i="3"/>
  <c r="L607" i="3"/>
  <c r="E607" i="3"/>
  <c r="D607" i="3"/>
  <c r="L606" i="3"/>
  <c r="E606" i="3"/>
  <c r="D606" i="3"/>
  <c r="L605" i="3"/>
  <c r="E605" i="3"/>
  <c r="D605" i="3"/>
  <c r="L604" i="3"/>
  <c r="E604" i="3"/>
  <c r="D604" i="3"/>
  <c r="L603" i="3"/>
  <c r="E603" i="3"/>
  <c r="D603" i="3"/>
  <c r="L602" i="3"/>
  <c r="E602" i="3"/>
  <c r="D602" i="3"/>
  <c r="L601" i="3"/>
  <c r="E601" i="3"/>
  <c r="D601" i="3"/>
  <c r="L600" i="3"/>
  <c r="E600" i="3"/>
  <c r="D600" i="3"/>
  <c r="L599" i="3"/>
  <c r="E599" i="3"/>
  <c r="D599" i="3"/>
  <c r="L598" i="3"/>
  <c r="E598" i="3"/>
  <c r="D598" i="3"/>
  <c r="L597" i="3"/>
  <c r="E597" i="3"/>
  <c r="D597" i="3"/>
  <c r="L596" i="3"/>
  <c r="E596" i="3"/>
  <c r="D596" i="3"/>
  <c r="L595" i="3"/>
  <c r="E595" i="3"/>
  <c r="D595" i="3"/>
  <c r="L594" i="3"/>
  <c r="E594" i="3"/>
  <c r="D594" i="3"/>
  <c r="L593" i="3"/>
  <c r="E593" i="3"/>
  <c r="D593" i="3"/>
  <c r="L592" i="3"/>
  <c r="E592" i="3"/>
  <c r="D592" i="3"/>
  <c r="L591" i="3"/>
  <c r="E591" i="3"/>
  <c r="D591" i="3"/>
  <c r="L590" i="3"/>
  <c r="E590" i="3"/>
  <c r="D590" i="3"/>
  <c r="L589" i="3"/>
  <c r="E589" i="3"/>
  <c r="D589" i="3"/>
  <c r="L588" i="3"/>
  <c r="E588" i="3"/>
  <c r="D588" i="3"/>
  <c r="L587" i="3"/>
  <c r="E587" i="3"/>
  <c r="D587" i="3"/>
  <c r="L586" i="3"/>
  <c r="E586" i="3"/>
  <c r="D586" i="3"/>
  <c r="L585" i="3"/>
  <c r="E585" i="3"/>
  <c r="D585" i="3"/>
  <c r="L584" i="3"/>
  <c r="E584" i="3"/>
  <c r="D584" i="3"/>
  <c r="L583" i="3"/>
  <c r="E583" i="3"/>
  <c r="D583" i="3"/>
  <c r="L582" i="3"/>
  <c r="E582" i="3"/>
  <c r="D582" i="3"/>
  <c r="L581" i="3"/>
  <c r="E581" i="3"/>
  <c r="D581" i="3"/>
  <c r="L580" i="3"/>
  <c r="E580" i="3"/>
  <c r="D580" i="3"/>
  <c r="L579" i="3"/>
  <c r="E579" i="3"/>
  <c r="D579" i="3"/>
  <c r="L578" i="3"/>
  <c r="E578" i="3"/>
  <c r="D578" i="3"/>
  <c r="L577" i="3"/>
  <c r="E577" i="3"/>
  <c r="D577" i="3"/>
  <c r="L576" i="3"/>
  <c r="E576" i="3"/>
  <c r="D576" i="3"/>
  <c r="L575" i="3"/>
  <c r="E575" i="3"/>
  <c r="D575" i="3"/>
  <c r="L574" i="3"/>
  <c r="E574" i="3"/>
  <c r="D574" i="3"/>
  <c r="L573" i="3"/>
  <c r="E573" i="3"/>
  <c r="D573" i="3"/>
  <c r="L572" i="3"/>
  <c r="E572" i="3"/>
  <c r="D572" i="3"/>
  <c r="L571" i="3"/>
  <c r="E571" i="3"/>
  <c r="D571" i="3"/>
  <c r="L570" i="3"/>
  <c r="E570" i="3"/>
  <c r="D570" i="3"/>
  <c r="L569" i="3"/>
  <c r="E569" i="3"/>
  <c r="D569" i="3"/>
  <c r="L568" i="3"/>
  <c r="E568" i="3"/>
  <c r="D568" i="3"/>
  <c r="L567" i="3"/>
  <c r="E567" i="3"/>
  <c r="D567" i="3"/>
  <c r="L566" i="3"/>
  <c r="E566" i="3"/>
  <c r="D566" i="3"/>
  <c r="L565" i="3"/>
  <c r="E565" i="3"/>
  <c r="D565" i="3"/>
  <c r="L564" i="3"/>
  <c r="E564" i="3"/>
  <c r="D564" i="3"/>
  <c r="L563" i="3"/>
  <c r="E563" i="3"/>
  <c r="D563" i="3"/>
  <c r="L562" i="3"/>
  <c r="E562" i="3"/>
  <c r="D562" i="3"/>
  <c r="L561" i="3"/>
  <c r="E561" i="3"/>
  <c r="D561" i="3"/>
  <c r="L560" i="3"/>
  <c r="E560" i="3"/>
  <c r="D560" i="3"/>
  <c r="L559" i="3"/>
  <c r="E559" i="3"/>
  <c r="D559" i="3"/>
  <c r="L558" i="3"/>
  <c r="E558" i="3"/>
  <c r="D558" i="3"/>
  <c r="L557" i="3"/>
  <c r="E557" i="3"/>
  <c r="D557" i="3"/>
  <c r="L556" i="3"/>
  <c r="E556" i="3"/>
  <c r="D556" i="3"/>
  <c r="L555" i="3"/>
  <c r="E555" i="3"/>
  <c r="D555" i="3"/>
  <c r="L554" i="3"/>
  <c r="E554" i="3"/>
  <c r="D554" i="3"/>
  <c r="L553" i="3"/>
  <c r="E553" i="3"/>
  <c r="D553" i="3"/>
  <c r="L552" i="3"/>
  <c r="E552" i="3"/>
  <c r="D552" i="3"/>
  <c r="L551" i="3"/>
  <c r="E551" i="3"/>
  <c r="D551" i="3"/>
  <c r="L550" i="3"/>
  <c r="E550" i="3"/>
  <c r="D550" i="3"/>
  <c r="L549" i="3"/>
  <c r="E549" i="3"/>
  <c r="D549" i="3"/>
  <c r="L548" i="3"/>
  <c r="E548" i="3"/>
  <c r="D548" i="3"/>
  <c r="L547" i="3"/>
  <c r="E547" i="3"/>
  <c r="D547" i="3"/>
  <c r="L546" i="3"/>
  <c r="E546" i="3"/>
  <c r="D546" i="3"/>
  <c r="L545" i="3"/>
  <c r="E545" i="3"/>
  <c r="D545" i="3"/>
  <c r="L544" i="3"/>
  <c r="E544" i="3"/>
  <c r="D544" i="3"/>
  <c r="L543" i="3"/>
  <c r="E543" i="3"/>
  <c r="D543" i="3"/>
  <c r="L542" i="3"/>
  <c r="E542" i="3"/>
  <c r="D542" i="3"/>
  <c r="L541" i="3"/>
  <c r="E541" i="3"/>
  <c r="D541" i="3"/>
  <c r="L540" i="3"/>
  <c r="E540" i="3"/>
  <c r="D540" i="3"/>
  <c r="L539" i="3"/>
  <c r="E539" i="3"/>
  <c r="D539" i="3"/>
  <c r="L538" i="3"/>
  <c r="E538" i="3"/>
  <c r="D538" i="3"/>
  <c r="L537" i="3"/>
  <c r="E537" i="3"/>
  <c r="D537" i="3"/>
  <c r="L536" i="3"/>
  <c r="E536" i="3"/>
  <c r="D536" i="3"/>
  <c r="L535" i="3"/>
  <c r="E535" i="3"/>
  <c r="D535" i="3"/>
  <c r="L534" i="3"/>
  <c r="E534" i="3"/>
  <c r="D534" i="3"/>
  <c r="L533" i="3"/>
  <c r="E533" i="3"/>
  <c r="D533" i="3"/>
  <c r="L532" i="3"/>
  <c r="E532" i="3"/>
  <c r="D532" i="3"/>
  <c r="L531" i="3"/>
  <c r="E531" i="3"/>
  <c r="D531" i="3"/>
  <c r="L530" i="3"/>
  <c r="E530" i="3"/>
  <c r="D530" i="3"/>
  <c r="L529" i="3"/>
  <c r="E529" i="3"/>
  <c r="D529" i="3"/>
  <c r="L528" i="3"/>
  <c r="E528" i="3"/>
  <c r="D528" i="3"/>
  <c r="L527" i="3"/>
  <c r="E527" i="3"/>
  <c r="D527" i="3"/>
  <c r="L526" i="3"/>
  <c r="E526" i="3"/>
  <c r="D526" i="3"/>
  <c r="L525" i="3"/>
  <c r="E525" i="3"/>
  <c r="D525" i="3"/>
  <c r="L524" i="3"/>
  <c r="E524" i="3"/>
  <c r="D524" i="3"/>
  <c r="L523" i="3"/>
  <c r="E523" i="3"/>
  <c r="D523" i="3"/>
  <c r="L522" i="3"/>
  <c r="E522" i="3"/>
  <c r="D522" i="3"/>
  <c r="L521" i="3"/>
  <c r="E521" i="3"/>
  <c r="D521" i="3"/>
  <c r="L520" i="3"/>
  <c r="E520" i="3"/>
  <c r="D520" i="3"/>
  <c r="L519" i="3"/>
  <c r="E519" i="3"/>
  <c r="D519" i="3"/>
  <c r="L518" i="3"/>
  <c r="E518" i="3"/>
  <c r="D518" i="3"/>
  <c r="L517" i="3"/>
  <c r="E517" i="3"/>
  <c r="D517" i="3"/>
  <c r="L516" i="3"/>
  <c r="E516" i="3"/>
  <c r="D516" i="3"/>
  <c r="L515" i="3"/>
  <c r="E515" i="3"/>
  <c r="D515" i="3"/>
  <c r="L514" i="3"/>
  <c r="E514" i="3"/>
  <c r="D514" i="3"/>
  <c r="L513" i="3"/>
  <c r="E513" i="3"/>
  <c r="D513" i="3"/>
  <c r="L512" i="3"/>
  <c r="E512" i="3"/>
  <c r="D512" i="3"/>
  <c r="L511" i="3"/>
  <c r="E511" i="3"/>
  <c r="D511" i="3"/>
  <c r="L510" i="3"/>
  <c r="E510" i="3"/>
  <c r="D510" i="3"/>
  <c r="L509" i="3"/>
  <c r="E509" i="3"/>
  <c r="D509" i="3"/>
  <c r="L508" i="3"/>
  <c r="E508" i="3"/>
  <c r="D508" i="3"/>
  <c r="L507" i="3"/>
  <c r="E507" i="3"/>
  <c r="D507" i="3"/>
  <c r="L506" i="3"/>
  <c r="E506" i="3"/>
  <c r="D506" i="3"/>
  <c r="L505" i="3"/>
  <c r="E505" i="3"/>
  <c r="D505" i="3"/>
  <c r="L504" i="3"/>
  <c r="E504" i="3"/>
  <c r="D504" i="3"/>
  <c r="L503" i="3"/>
  <c r="E503" i="3"/>
  <c r="D503" i="3"/>
  <c r="L502" i="3"/>
  <c r="E502" i="3"/>
  <c r="D502" i="3"/>
  <c r="L501" i="3"/>
  <c r="E501" i="3"/>
  <c r="D501" i="3"/>
  <c r="L500" i="3"/>
  <c r="E500" i="3"/>
  <c r="D500" i="3"/>
  <c r="L499" i="3"/>
  <c r="E499" i="3"/>
  <c r="D499" i="3"/>
  <c r="L498" i="3"/>
  <c r="E498" i="3"/>
  <c r="D498" i="3"/>
  <c r="L497" i="3"/>
  <c r="E497" i="3"/>
  <c r="D497" i="3"/>
  <c r="L496" i="3"/>
  <c r="E496" i="3"/>
  <c r="D496" i="3"/>
  <c r="L495" i="3"/>
  <c r="E495" i="3"/>
  <c r="D495" i="3"/>
  <c r="L494" i="3"/>
  <c r="E494" i="3"/>
  <c r="D494" i="3"/>
  <c r="L493" i="3"/>
  <c r="E493" i="3"/>
  <c r="D493" i="3"/>
  <c r="L492" i="3"/>
  <c r="E492" i="3"/>
  <c r="D492" i="3"/>
  <c r="L491" i="3"/>
  <c r="E491" i="3"/>
  <c r="D491" i="3"/>
  <c r="L490" i="3"/>
  <c r="E490" i="3"/>
  <c r="D490" i="3"/>
  <c r="L489" i="3"/>
  <c r="E489" i="3"/>
  <c r="D489" i="3"/>
  <c r="L488" i="3"/>
  <c r="E488" i="3"/>
  <c r="D488" i="3"/>
  <c r="L487" i="3"/>
  <c r="E487" i="3"/>
  <c r="D487" i="3"/>
  <c r="L486" i="3"/>
  <c r="E486" i="3"/>
  <c r="D486" i="3"/>
  <c r="L485" i="3"/>
  <c r="E485" i="3"/>
  <c r="D485" i="3"/>
  <c r="L484" i="3"/>
  <c r="E484" i="3"/>
  <c r="D484" i="3"/>
  <c r="L483" i="3"/>
  <c r="E483" i="3"/>
  <c r="D483" i="3"/>
  <c r="L482" i="3"/>
  <c r="E482" i="3"/>
  <c r="D482" i="3"/>
  <c r="L481" i="3"/>
  <c r="E481" i="3"/>
  <c r="D481" i="3"/>
  <c r="L480" i="3"/>
  <c r="E480" i="3"/>
  <c r="D480" i="3"/>
  <c r="L479" i="3"/>
  <c r="E479" i="3"/>
  <c r="D479" i="3"/>
  <c r="L478" i="3"/>
  <c r="E478" i="3"/>
  <c r="D478" i="3"/>
  <c r="L477" i="3"/>
  <c r="E477" i="3"/>
  <c r="D477" i="3"/>
  <c r="L476" i="3"/>
  <c r="E476" i="3"/>
  <c r="D476" i="3"/>
  <c r="L475" i="3"/>
  <c r="E475" i="3"/>
  <c r="D475" i="3"/>
  <c r="L474" i="3"/>
  <c r="E474" i="3"/>
  <c r="D474" i="3"/>
  <c r="L473" i="3"/>
  <c r="E473" i="3"/>
  <c r="D473" i="3"/>
  <c r="L472" i="3"/>
  <c r="E472" i="3"/>
  <c r="D472" i="3"/>
  <c r="L471" i="3"/>
  <c r="E471" i="3"/>
  <c r="D471" i="3"/>
  <c r="L470" i="3"/>
  <c r="E470" i="3"/>
  <c r="D470" i="3"/>
  <c r="L469" i="3"/>
  <c r="E469" i="3"/>
  <c r="D469" i="3"/>
  <c r="L468" i="3"/>
  <c r="E468" i="3"/>
  <c r="D468" i="3"/>
  <c r="L467" i="3"/>
  <c r="E467" i="3"/>
  <c r="D467" i="3"/>
  <c r="L466" i="3"/>
  <c r="E466" i="3"/>
  <c r="D466" i="3"/>
  <c r="L465" i="3"/>
  <c r="E465" i="3"/>
  <c r="D465" i="3"/>
  <c r="L464" i="3"/>
  <c r="E464" i="3"/>
  <c r="D464" i="3"/>
  <c r="L463" i="3"/>
  <c r="E463" i="3"/>
  <c r="D463" i="3"/>
  <c r="L462" i="3"/>
  <c r="E462" i="3"/>
  <c r="D462" i="3"/>
  <c r="L461" i="3"/>
  <c r="E461" i="3"/>
  <c r="D461" i="3"/>
  <c r="L460" i="3"/>
  <c r="E460" i="3"/>
  <c r="D460" i="3"/>
  <c r="L459" i="3"/>
  <c r="E459" i="3"/>
  <c r="D459" i="3"/>
  <c r="L458" i="3"/>
  <c r="E458" i="3"/>
  <c r="D458" i="3"/>
  <c r="L457" i="3"/>
  <c r="E457" i="3"/>
  <c r="D457" i="3"/>
  <c r="L456" i="3"/>
  <c r="E456" i="3"/>
  <c r="D456" i="3"/>
  <c r="L455" i="3"/>
  <c r="E455" i="3"/>
  <c r="D455" i="3"/>
  <c r="L454" i="3"/>
  <c r="E454" i="3"/>
  <c r="D454" i="3"/>
  <c r="L453" i="3"/>
  <c r="E453" i="3"/>
  <c r="D453" i="3"/>
  <c r="L452" i="3"/>
  <c r="E452" i="3"/>
  <c r="D452" i="3"/>
  <c r="L451" i="3"/>
  <c r="E451" i="3"/>
  <c r="D451" i="3"/>
  <c r="L450" i="3"/>
  <c r="E450" i="3"/>
  <c r="D450" i="3"/>
  <c r="L449" i="3"/>
  <c r="E449" i="3"/>
  <c r="D449" i="3"/>
  <c r="L448" i="3"/>
  <c r="E448" i="3"/>
  <c r="D448" i="3"/>
  <c r="L447" i="3"/>
  <c r="E447" i="3"/>
  <c r="D447" i="3"/>
  <c r="L446" i="3"/>
  <c r="E446" i="3"/>
  <c r="D446" i="3"/>
  <c r="L445" i="3"/>
  <c r="E445" i="3"/>
  <c r="D445" i="3"/>
  <c r="L444" i="3"/>
  <c r="E444" i="3"/>
  <c r="D444" i="3"/>
  <c r="L443" i="3"/>
  <c r="E443" i="3"/>
  <c r="D443" i="3"/>
  <c r="L442" i="3"/>
  <c r="E442" i="3"/>
  <c r="D442" i="3"/>
  <c r="L441" i="3"/>
  <c r="E441" i="3"/>
  <c r="D441" i="3"/>
  <c r="L440" i="3"/>
  <c r="E440" i="3"/>
  <c r="D440" i="3"/>
  <c r="L439" i="3"/>
  <c r="E439" i="3"/>
  <c r="D439" i="3"/>
  <c r="L438" i="3"/>
  <c r="E438" i="3"/>
  <c r="D438" i="3"/>
  <c r="L437" i="3"/>
  <c r="E437" i="3"/>
  <c r="D437" i="3"/>
  <c r="L436" i="3"/>
  <c r="E436" i="3"/>
  <c r="D436" i="3"/>
  <c r="L435" i="3"/>
  <c r="E435" i="3"/>
  <c r="D435" i="3"/>
  <c r="L434" i="3"/>
  <c r="E434" i="3"/>
  <c r="D434" i="3"/>
  <c r="L433" i="3"/>
  <c r="E433" i="3"/>
  <c r="D433" i="3"/>
  <c r="L432" i="3"/>
  <c r="E432" i="3"/>
  <c r="D432" i="3"/>
  <c r="L431" i="3"/>
  <c r="E431" i="3"/>
  <c r="D431" i="3"/>
  <c r="L430" i="3"/>
  <c r="E430" i="3"/>
  <c r="D430" i="3"/>
  <c r="L429" i="3"/>
  <c r="E429" i="3"/>
  <c r="D429" i="3"/>
  <c r="L428" i="3"/>
  <c r="E428" i="3"/>
  <c r="D428" i="3"/>
  <c r="L427" i="3"/>
  <c r="E427" i="3"/>
  <c r="D427" i="3"/>
  <c r="L426" i="3"/>
  <c r="E426" i="3"/>
  <c r="D426" i="3"/>
  <c r="L425" i="3"/>
  <c r="E425" i="3"/>
  <c r="D425" i="3"/>
  <c r="L424" i="3"/>
  <c r="E424" i="3"/>
  <c r="D424" i="3"/>
  <c r="L423" i="3"/>
  <c r="E423" i="3"/>
  <c r="D423" i="3"/>
  <c r="L422" i="3"/>
  <c r="E422" i="3"/>
  <c r="D422" i="3"/>
  <c r="L421" i="3"/>
  <c r="E421" i="3"/>
  <c r="D421" i="3"/>
  <c r="L420" i="3"/>
  <c r="E420" i="3"/>
  <c r="D420" i="3"/>
  <c r="L419" i="3"/>
  <c r="E419" i="3"/>
  <c r="D419" i="3"/>
  <c r="L418" i="3"/>
  <c r="E418" i="3"/>
  <c r="D418" i="3"/>
  <c r="L417" i="3"/>
  <c r="E417" i="3"/>
  <c r="D417" i="3"/>
  <c r="L416" i="3"/>
  <c r="E416" i="3"/>
  <c r="D416" i="3"/>
  <c r="L415" i="3"/>
  <c r="E415" i="3"/>
  <c r="D415" i="3"/>
  <c r="L414" i="3"/>
  <c r="E414" i="3"/>
  <c r="D414" i="3"/>
  <c r="L413" i="3"/>
  <c r="E413" i="3"/>
  <c r="D413" i="3"/>
  <c r="L412" i="3"/>
  <c r="E412" i="3"/>
  <c r="D412" i="3"/>
  <c r="L411" i="3"/>
  <c r="E411" i="3"/>
  <c r="D411" i="3"/>
  <c r="L410" i="3"/>
  <c r="E410" i="3"/>
  <c r="D410" i="3"/>
  <c r="L409" i="3"/>
  <c r="E409" i="3"/>
  <c r="D409" i="3"/>
  <c r="L408" i="3"/>
  <c r="E408" i="3"/>
  <c r="D408" i="3"/>
  <c r="L407" i="3"/>
  <c r="E407" i="3"/>
  <c r="D407" i="3"/>
  <c r="L406" i="3"/>
  <c r="E406" i="3"/>
  <c r="D406" i="3"/>
  <c r="L405" i="3"/>
  <c r="E405" i="3"/>
  <c r="D405" i="3"/>
  <c r="L404" i="3"/>
  <c r="E404" i="3"/>
  <c r="D404" i="3"/>
  <c r="L403" i="3"/>
  <c r="E403" i="3"/>
  <c r="D403" i="3"/>
  <c r="L402" i="3"/>
  <c r="E402" i="3"/>
  <c r="D402" i="3"/>
  <c r="L401" i="3"/>
  <c r="E401" i="3"/>
  <c r="D401" i="3"/>
  <c r="L400" i="3"/>
  <c r="E400" i="3"/>
  <c r="D400" i="3"/>
  <c r="L399" i="3"/>
  <c r="E399" i="3"/>
  <c r="D399" i="3"/>
  <c r="L398" i="3"/>
  <c r="E398" i="3"/>
  <c r="D398" i="3"/>
  <c r="L397" i="3"/>
  <c r="E397" i="3"/>
  <c r="D397" i="3"/>
  <c r="L396" i="3"/>
  <c r="E396" i="3"/>
  <c r="D396" i="3"/>
  <c r="L395" i="3"/>
  <c r="E395" i="3"/>
  <c r="D395" i="3"/>
  <c r="L394" i="3"/>
  <c r="E394" i="3"/>
  <c r="D394" i="3"/>
  <c r="L393" i="3"/>
  <c r="E393" i="3"/>
  <c r="D393" i="3"/>
  <c r="L392" i="3"/>
  <c r="E392" i="3"/>
  <c r="D392" i="3"/>
  <c r="L391" i="3"/>
  <c r="E391" i="3"/>
  <c r="D391" i="3"/>
  <c r="L390" i="3"/>
  <c r="E390" i="3"/>
  <c r="D390" i="3"/>
  <c r="L389" i="3"/>
  <c r="E389" i="3"/>
  <c r="D389" i="3"/>
  <c r="L388" i="3"/>
  <c r="E388" i="3"/>
  <c r="D388" i="3"/>
  <c r="L387" i="3"/>
  <c r="E387" i="3"/>
  <c r="D387" i="3"/>
  <c r="L386" i="3"/>
  <c r="E386" i="3"/>
  <c r="D386" i="3"/>
  <c r="L385" i="3"/>
  <c r="E385" i="3"/>
  <c r="D385" i="3"/>
  <c r="L384" i="3"/>
  <c r="E384" i="3"/>
  <c r="D384" i="3"/>
  <c r="L383" i="3"/>
  <c r="E383" i="3"/>
  <c r="D383" i="3"/>
  <c r="L382" i="3"/>
  <c r="E382" i="3"/>
  <c r="D382" i="3"/>
  <c r="L381" i="3"/>
  <c r="E381" i="3"/>
  <c r="D381" i="3"/>
  <c r="L380" i="3"/>
  <c r="E380" i="3"/>
  <c r="D380" i="3"/>
  <c r="L379" i="3"/>
  <c r="E379" i="3"/>
  <c r="D379" i="3"/>
  <c r="L378" i="3"/>
  <c r="E378" i="3"/>
  <c r="D378" i="3"/>
  <c r="L377" i="3"/>
  <c r="E377" i="3"/>
  <c r="D377" i="3"/>
  <c r="L376" i="3"/>
  <c r="E376" i="3"/>
  <c r="D376" i="3"/>
  <c r="L375" i="3"/>
  <c r="E375" i="3"/>
  <c r="D375" i="3"/>
  <c r="L374" i="3"/>
  <c r="E374" i="3"/>
  <c r="D374" i="3"/>
  <c r="L373" i="3"/>
  <c r="E373" i="3"/>
  <c r="D373" i="3"/>
  <c r="L372" i="3"/>
  <c r="E372" i="3"/>
  <c r="D372" i="3"/>
  <c r="L371" i="3"/>
  <c r="E371" i="3"/>
  <c r="D371" i="3"/>
  <c r="L370" i="3"/>
  <c r="E370" i="3"/>
  <c r="D370" i="3"/>
  <c r="L369" i="3"/>
  <c r="E369" i="3"/>
  <c r="D369" i="3"/>
  <c r="L368" i="3"/>
  <c r="E368" i="3"/>
  <c r="D368" i="3"/>
  <c r="L367" i="3"/>
  <c r="E367" i="3"/>
  <c r="D367" i="3"/>
  <c r="L366" i="3"/>
  <c r="E366" i="3"/>
  <c r="D366" i="3"/>
  <c r="L365" i="3"/>
  <c r="E365" i="3"/>
  <c r="D365" i="3"/>
  <c r="L364" i="3"/>
  <c r="E364" i="3"/>
  <c r="D364" i="3"/>
  <c r="L363" i="3"/>
  <c r="E363" i="3"/>
  <c r="D363" i="3"/>
  <c r="L362" i="3"/>
  <c r="E362" i="3"/>
  <c r="D362" i="3"/>
  <c r="L361" i="3"/>
  <c r="E361" i="3"/>
  <c r="D361" i="3"/>
  <c r="L360" i="3"/>
  <c r="E360" i="3"/>
  <c r="D360" i="3"/>
  <c r="L359" i="3"/>
  <c r="E359" i="3"/>
  <c r="D359" i="3"/>
  <c r="L358" i="3"/>
  <c r="E358" i="3"/>
  <c r="D358" i="3"/>
  <c r="L357" i="3"/>
  <c r="E357" i="3"/>
  <c r="D357" i="3"/>
  <c r="L356" i="3"/>
  <c r="E356" i="3"/>
  <c r="D356" i="3"/>
  <c r="L355" i="3"/>
  <c r="E355" i="3"/>
  <c r="D355" i="3"/>
  <c r="L354" i="3"/>
  <c r="E354" i="3"/>
  <c r="D354" i="3"/>
  <c r="L353" i="3"/>
  <c r="E353" i="3"/>
  <c r="D353" i="3"/>
  <c r="L352" i="3"/>
  <c r="E352" i="3"/>
  <c r="D352" i="3"/>
  <c r="L351" i="3"/>
  <c r="E351" i="3"/>
  <c r="D351" i="3"/>
  <c r="L350" i="3"/>
  <c r="E350" i="3"/>
  <c r="D350" i="3"/>
  <c r="L349" i="3"/>
  <c r="E349" i="3"/>
  <c r="D349" i="3"/>
  <c r="L348" i="3"/>
  <c r="E348" i="3"/>
  <c r="D348" i="3"/>
  <c r="L347" i="3"/>
  <c r="E347" i="3"/>
  <c r="D347" i="3"/>
  <c r="L346" i="3"/>
  <c r="E346" i="3"/>
  <c r="D346" i="3"/>
  <c r="L345" i="3"/>
  <c r="E345" i="3"/>
  <c r="D345" i="3"/>
  <c r="L344" i="3"/>
  <c r="E344" i="3"/>
  <c r="D344" i="3"/>
  <c r="L343" i="3"/>
  <c r="E343" i="3"/>
  <c r="D343" i="3"/>
  <c r="L342" i="3"/>
  <c r="E342" i="3"/>
  <c r="D342" i="3"/>
  <c r="L341" i="3"/>
  <c r="E341" i="3"/>
  <c r="D341" i="3"/>
  <c r="L340" i="3"/>
  <c r="E340" i="3"/>
  <c r="D340" i="3"/>
  <c r="L339" i="3"/>
  <c r="E339" i="3"/>
  <c r="D339" i="3"/>
  <c r="L338" i="3"/>
  <c r="E338" i="3"/>
  <c r="D338" i="3"/>
  <c r="L337" i="3"/>
  <c r="E337" i="3"/>
  <c r="D337" i="3"/>
  <c r="L336" i="3"/>
  <c r="E336" i="3"/>
  <c r="D336" i="3"/>
  <c r="L335" i="3"/>
  <c r="E335" i="3"/>
  <c r="D335" i="3"/>
  <c r="L334" i="3"/>
  <c r="E334" i="3"/>
  <c r="D334" i="3"/>
  <c r="L333" i="3"/>
  <c r="E333" i="3"/>
  <c r="D333" i="3"/>
  <c r="L332" i="3"/>
  <c r="E332" i="3"/>
  <c r="D332" i="3"/>
  <c r="L331" i="3"/>
  <c r="E331" i="3"/>
  <c r="D331" i="3"/>
  <c r="L330" i="3"/>
  <c r="E330" i="3"/>
  <c r="D330" i="3"/>
  <c r="L329" i="3"/>
  <c r="E329" i="3"/>
  <c r="D329" i="3"/>
  <c r="L328" i="3"/>
  <c r="E328" i="3"/>
  <c r="D328" i="3"/>
  <c r="L327" i="3"/>
  <c r="E327" i="3"/>
  <c r="D327" i="3"/>
  <c r="L326" i="3"/>
  <c r="E326" i="3"/>
  <c r="D326" i="3"/>
  <c r="L325" i="3"/>
  <c r="E325" i="3"/>
  <c r="D325" i="3"/>
  <c r="L324" i="3"/>
  <c r="E324" i="3"/>
  <c r="D324" i="3"/>
  <c r="L323" i="3"/>
  <c r="E323" i="3"/>
  <c r="D323" i="3"/>
  <c r="L322" i="3"/>
  <c r="E322" i="3"/>
  <c r="D322" i="3"/>
  <c r="L321" i="3"/>
  <c r="E321" i="3"/>
  <c r="D321" i="3"/>
  <c r="L320" i="3"/>
  <c r="E320" i="3"/>
  <c r="D320" i="3"/>
  <c r="L319" i="3"/>
  <c r="E319" i="3"/>
  <c r="D319" i="3"/>
  <c r="L318" i="3"/>
  <c r="E318" i="3"/>
  <c r="D318" i="3"/>
  <c r="L317" i="3"/>
  <c r="E317" i="3"/>
  <c r="D317" i="3"/>
  <c r="L316" i="3"/>
  <c r="E316" i="3"/>
  <c r="D316" i="3"/>
  <c r="L315" i="3"/>
  <c r="E315" i="3"/>
  <c r="D315" i="3"/>
  <c r="L314" i="3"/>
  <c r="E314" i="3"/>
  <c r="D314" i="3"/>
  <c r="L313" i="3"/>
  <c r="E313" i="3"/>
  <c r="D313" i="3"/>
  <c r="L312" i="3"/>
  <c r="E312" i="3"/>
  <c r="D312" i="3"/>
  <c r="L311" i="3"/>
  <c r="E311" i="3"/>
  <c r="D311" i="3"/>
  <c r="L310" i="3"/>
  <c r="E310" i="3"/>
  <c r="D310" i="3"/>
  <c r="L309" i="3"/>
  <c r="E309" i="3"/>
  <c r="D309" i="3"/>
  <c r="L308" i="3"/>
  <c r="E308" i="3"/>
  <c r="D308" i="3"/>
  <c r="L307" i="3"/>
  <c r="E307" i="3"/>
  <c r="D307" i="3"/>
  <c r="L306" i="3"/>
  <c r="E306" i="3"/>
  <c r="D306" i="3"/>
  <c r="L305" i="3"/>
  <c r="E305" i="3"/>
  <c r="D305" i="3"/>
  <c r="L304" i="3"/>
  <c r="E304" i="3"/>
  <c r="D304" i="3"/>
  <c r="L303" i="3"/>
  <c r="E303" i="3"/>
  <c r="D303" i="3"/>
  <c r="L302" i="3"/>
  <c r="E302" i="3"/>
  <c r="D302" i="3"/>
  <c r="L301" i="3"/>
  <c r="E301" i="3"/>
  <c r="D301" i="3"/>
  <c r="L300" i="3"/>
  <c r="E300" i="3"/>
  <c r="D300" i="3"/>
  <c r="L299" i="3"/>
  <c r="E299" i="3"/>
  <c r="D299" i="3"/>
  <c r="L298" i="3"/>
  <c r="E298" i="3"/>
  <c r="D298" i="3"/>
  <c r="L297" i="3"/>
  <c r="E297" i="3"/>
  <c r="D297" i="3"/>
  <c r="L296" i="3"/>
  <c r="E296" i="3"/>
  <c r="D296" i="3"/>
  <c r="L295" i="3"/>
  <c r="E295" i="3"/>
  <c r="D295" i="3"/>
  <c r="L294" i="3"/>
  <c r="E294" i="3"/>
  <c r="D294" i="3"/>
  <c r="L293" i="3"/>
  <c r="E293" i="3"/>
  <c r="D293" i="3"/>
  <c r="L292" i="3"/>
  <c r="E292" i="3"/>
  <c r="D292" i="3"/>
  <c r="L291" i="3"/>
  <c r="E291" i="3"/>
  <c r="D291" i="3"/>
  <c r="L290" i="3"/>
  <c r="E290" i="3"/>
  <c r="D290" i="3"/>
  <c r="L289" i="3"/>
  <c r="E289" i="3"/>
  <c r="D289" i="3"/>
  <c r="L288" i="3"/>
  <c r="E288" i="3"/>
  <c r="D288" i="3"/>
  <c r="L287" i="3"/>
  <c r="E287" i="3"/>
  <c r="D287" i="3"/>
  <c r="L286" i="3"/>
  <c r="E286" i="3"/>
  <c r="D286" i="3"/>
  <c r="L285" i="3"/>
  <c r="E285" i="3"/>
  <c r="D285" i="3"/>
  <c r="L284" i="3"/>
  <c r="E284" i="3"/>
  <c r="D284" i="3"/>
  <c r="L283" i="3"/>
  <c r="E283" i="3"/>
  <c r="D283" i="3"/>
  <c r="L282" i="3"/>
  <c r="E282" i="3"/>
  <c r="D282" i="3"/>
  <c r="L281" i="3"/>
  <c r="E281" i="3"/>
  <c r="D281" i="3"/>
  <c r="L280" i="3"/>
  <c r="E280" i="3"/>
  <c r="D280" i="3"/>
  <c r="L279" i="3"/>
  <c r="E279" i="3"/>
  <c r="D279" i="3"/>
  <c r="L278" i="3"/>
  <c r="E278" i="3"/>
  <c r="D278" i="3"/>
  <c r="L277" i="3"/>
  <c r="E277" i="3"/>
  <c r="D277" i="3"/>
  <c r="L276" i="3"/>
  <c r="E276" i="3"/>
  <c r="D276" i="3"/>
  <c r="L275" i="3"/>
  <c r="E275" i="3"/>
  <c r="D275" i="3"/>
  <c r="L274" i="3"/>
  <c r="E274" i="3"/>
  <c r="D274" i="3"/>
  <c r="L273" i="3"/>
  <c r="E273" i="3"/>
  <c r="D273" i="3"/>
  <c r="L272" i="3"/>
  <c r="E272" i="3"/>
  <c r="D272" i="3"/>
  <c r="L271" i="3"/>
  <c r="E271" i="3"/>
  <c r="D271" i="3"/>
  <c r="L270" i="3"/>
  <c r="E270" i="3"/>
  <c r="D270" i="3"/>
  <c r="L269" i="3"/>
  <c r="E269" i="3"/>
  <c r="D269" i="3"/>
  <c r="L268" i="3"/>
  <c r="E268" i="3"/>
  <c r="D268" i="3"/>
  <c r="L267" i="3"/>
  <c r="E267" i="3"/>
  <c r="D267" i="3"/>
  <c r="L266" i="3"/>
  <c r="E266" i="3"/>
  <c r="D266" i="3"/>
  <c r="L265" i="3"/>
  <c r="E265" i="3"/>
  <c r="D265" i="3"/>
  <c r="L264" i="3"/>
  <c r="E264" i="3"/>
  <c r="D264" i="3"/>
  <c r="L263" i="3"/>
  <c r="E263" i="3"/>
  <c r="D263" i="3"/>
  <c r="L262" i="3"/>
  <c r="E262" i="3"/>
  <c r="D262" i="3"/>
  <c r="L261" i="3"/>
  <c r="E261" i="3"/>
  <c r="D261" i="3"/>
  <c r="L260" i="3"/>
  <c r="E260" i="3"/>
  <c r="D260" i="3"/>
  <c r="L259" i="3"/>
  <c r="E259" i="3"/>
  <c r="D259" i="3"/>
  <c r="L258" i="3"/>
  <c r="E258" i="3"/>
  <c r="D258" i="3"/>
  <c r="L257" i="3"/>
  <c r="E257" i="3"/>
  <c r="D257" i="3"/>
  <c r="L256" i="3"/>
  <c r="E256" i="3"/>
  <c r="D256" i="3"/>
  <c r="L255" i="3"/>
  <c r="E255" i="3"/>
  <c r="D255" i="3"/>
  <c r="L254" i="3"/>
  <c r="E254" i="3"/>
  <c r="D254" i="3"/>
  <c r="L253" i="3"/>
  <c r="E253" i="3"/>
  <c r="D253" i="3"/>
  <c r="L252" i="3"/>
  <c r="E252" i="3"/>
  <c r="D252" i="3"/>
  <c r="L251" i="3"/>
  <c r="E251" i="3"/>
  <c r="D251" i="3"/>
  <c r="L250" i="3"/>
  <c r="E250" i="3"/>
  <c r="D250" i="3"/>
  <c r="L249" i="3"/>
  <c r="E249" i="3"/>
  <c r="D249" i="3"/>
  <c r="L248" i="3"/>
  <c r="E248" i="3"/>
  <c r="D248" i="3"/>
  <c r="L247" i="3"/>
  <c r="E247" i="3"/>
  <c r="D247" i="3"/>
  <c r="L246" i="3"/>
  <c r="E246" i="3"/>
  <c r="D246" i="3"/>
  <c r="L245" i="3"/>
  <c r="E245" i="3"/>
  <c r="D245" i="3"/>
  <c r="L244" i="3"/>
  <c r="E244" i="3"/>
  <c r="D244" i="3"/>
  <c r="L243" i="3"/>
  <c r="E243" i="3"/>
  <c r="D243" i="3"/>
  <c r="L242" i="3"/>
  <c r="E242" i="3"/>
  <c r="D242" i="3"/>
  <c r="L241" i="3"/>
  <c r="E241" i="3"/>
  <c r="D241" i="3"/>
  <c r="L240" i="3"/>
  <c r="E240" i="3"/>
  <c r="D240" i="3"/>
  <c r="L239" i="3"/>
  <c r="E239" i="3"/>
  <c r="D239" i="3"/>
  <c r="L238" i="3"/>
  <c r="E238" i="3"/>
  <c r="D238" i="3"/>
  <c r="L237" i="3"/>
  <c r="E237" i="3"/>
  <c r="D237" i="3"/>
  <c r="L236" i="3"/>
  <c r="E236" i="3"/>
  <c r="D236" i="3"/>
  <c r="L235" i="3"/>
  <c r="E235" i="3"/>
  <c r="D235" i="3"/>
  <c r="L234" i="3"/>
  <c r="E234" i="3"/>
  <c r="D234" i="3"/>
  <c r="L233" i="3"/>
  <c r="E233" i="3"/>
  <c r="D233" i="3"/>
  <c r="L232" i="3"/>
  <c r="E232" i="3"/>
  <c r="D232" i="3"/>
  <c r="L231" i="3"/>
  <c r="E231" i="3"/>
  <c r="D231" i="3"/>
  <c r="L230" i="3"/>
  <c r="E230" i="3"/>
  <c r="D230" i="3"/>
  <c r="L229" i="3"/>
  <c r="E229" i="3"/>
  <c r="D229" i="3"/>
  <c r="L228" i="3"/>
  <c r="E228" i="3"/>
  <c r="D228" i="3"/>
  <c r="L227" i="3"/>
  <c r="E227" i="3"/>
  <c r="D227" i="3"/>
  <c r="L226" i="3"/>
  <c r="E226" i="3"/>
  <c r="D226" i="3"/>
  <c r="L225" i="3"/>
  <c r="E225" i="3"/>
  <c r="D225" i="3"/>
  <c r="L224" i="3"/>
  <c r="E224" i="3"/>
  <c r="D224" i="3"/>
  <c r="L223" i="3"/>
  <c r="E223" i="3"/>
  <c r="D223" i="3"/>
  <c r="L222" i="3"/>
  <c r="E222" i="3"/>
  <c r="D222" i="3"/>
  <c r="L221" i="3"/>
  <c r="E221" i="3"/>
  <c r="D221" i="3"/>
  <c r="L220" i="3"/>
  <c r="E220" i="3"/>
  <c r="D220" i="3"/>
  <c r="L219" i="3"/>
  <c r="E219" i="3"/>
  <c r="D219" i="3"/>
  <c r="L218" i="3"/>
  <c r="E218" i="3"/>
  <c r="D218" i="3"/>
  <c r="L217" i="3"/>
  <c r="E217" i="3"/>
  <c r="D217" i="3"/>
  <c r="L216" i="3"/>
  <c r="E216" i="3"/>
  <c r="D216" i="3"/>
  <c r="L215" i="3"/>
  <c r="E215" i="3"/>
  <c r="D215" i="3"/>
  <c r="L214" i="3"/>
  <c r="E214" i="3"/>
  <c r="D214" i="3"/>
  <c r="L213" i="3"/>
  <c r="E213" i="3"/>
  <c r="D213" i="3"/>
  <c r="L212" i="3"/>
  <c r="E212" i="3"/>
  <c r="D212" i="3"/>
  <c r="L211" i="3"/>
  <c r="E211" i="3"/>
  <c r="D211" i="3"/>
  <c r="L210" i="3"/>
  <c r="E210" i="3"/>
  <c r="D210" i="3"/>
  <c r="L209" i="3"/>
  <c r="E209" i="3"/>
  <c r="D209" i="3"/>
  <c r="L208" i="3"/>
  <c r="E208" i="3"/>
  <c r="D208" i="3"/>
  <c r="L207" i="3"/>
  <c r="E207" i="3"/>
  <c r="D207" i="3"/>
  <c r="L206" i="3"/>
  <c r="E206" i="3"/>
  <c r="D206" i="3"/>
  <c r="L205" i="3"/>
  <c r="E205" i="3"/>
  <c r="D205" i="3"/>
  <c r="L204" i="3"/>
  <c r="E204" i="3"/>
  <c r="D204" i="3"/>
  <c r="L203" i="3"/>
  <c r="E203" i="3"/>
  <c r="D203" i="3"/>
  <c r="L202" i="3"/>
  <c r="E202" i="3"/>
  <c r="D202" i="3"/>
  <c r="L201" i="3"/>
  <c r="E201" i="3"/>
  <c r="D201" i="3"/>
  <c r="L200" i="3"/>
  <c r="E200" i="3"/>
  <c r="D200" i="3"/>
  <c r="L199" i="3"/>
  <c r="E199" i="3"/>
  <c r="D199" i="3"/>
  <c r="L198" i="3"/>
  <c r="E198" i="3"/>
  <c r="D198" i="3"/>
  <c r="L197" i="3"/>
  <c r="E197" i="3"/>
  <c r="D197" i="3"/>
  <c r="L196" i="3"/>
  <c r="E196" i="3"/>
  <c r="D196" i="3"/>
  <c r="L195" i="3"/>
  <c r="E195" i="3"/>
  <c r="D195" i="3"/>
  <c r="L194" i="3"/>
  <c r="E194" i="3"/>
  <c r="D194" i="3"/>
  <c r="L193" i="3"/>
  <c r="E193" i="3"/>
  <c r="D193" i="3"/>
  <c r="L192" i="3"/>
  <c r="E192" i="3"/>
  <c r="D192" i="3"/>
  <c r="L191" i="3"/>
  <c r="E191" i="3"/>
  <c r="D191" i="3"/>
  <c r="L190" i="3"/>
  <c r="E190" i="3"/>
  <c r="D190" i="3"/>
  <c r="L189" i="3"/>
  <c r="E189" i="3"/>
  <c r="D189" i="3"/>
  <c r="L188" i="3"/>
  <c r="E188" i="3"/>
  <c r="D188" i="3"/>
  <c r="L187" i="3"/>
  <c r="E187" i="3"/>
  <c r="D187" i="3"/>
  <c r="L186" i="3"/>
  <c r="E186" i="3"/>
  <c r="D186" i="3"/>
  <c r="L185" i="3"/>
  <c r="E185" i="3"/>
  <c r="D185" i="3"/>
  <c r="L184" i="3"/>
  <c r="E184" i="3"/>
  <c r="D184" i="3"/>
  <c r="L183" i="3"/>
  <c r="E183" i="3"/>
  <c r="D183" i="3"/>
  <c r="L182" i="3"/>
  <c r="E182" i="3"/>
  <c r="D182" i="3"/>
  <c r="L181" i="3"/>
  <c r="E181" i="3"/>
  <c r="D181" i="3"/>
  <c r="L180" i="3"/>
  <c r="E180" i="3"/>
  <c r="D180" i="3"/>
  <c r="L179" i="3"/>
  <c r="E179" i="3"/>
  <c r="D179" i="3"/>
  <c r="L178" i="3"/>
  <c r="E178" i="3"/>
  <c r="D178" i="3"/>
  <c r="L177" i="3"/>
  <c r="E177" i="3"/>
  <c r="D177" i="3"/>
  <c r="L176" i="3"/>
  <c r="E176" i="3"/>
  <c r="D176" i="3"/>
  <c r="L175" i="3"/>
  <c r="E175" i="3"/>
  <c r="D175" i="3"/>
  <c r="L174" i="3"/>
  <c r="E174" i="3"/>
  <c r="D174" i="3"/>
  <c r="L173" i="3"/>
  <c r="E173" i="3"/>
  <c r="D173" i="3"/>
  <c r="L172" i="3"/>
  <c r="E172" i="3"/>
  <c r="D172" i="3"/>
  <c r="L171" i="3"/>
  <c r="E171" i="3"/>
  <c r="D171" i="3"/>
  <c r="L170" i="3"/>
  <c r="E170" i="3"/>
  <c r="D170" i="3"/>
  <c r="L169" i="3"/>
  <c r="E169" i="3"/>
  <c r="D169" i="3"/>
  <c r="L168" i="3"/>
  <c r="E168" i="3"/>
  <c r="D168" i="3"/>
  <c r="L167" i="3"/>
  <c r="E167" i="3"/>
  <c r="D167" i="3"/>
  <c r="L166" i="3"/>
  <c r="E166" i="3"/>
  <c r="D166" i="3"/>
  <c r="L165" i="3"/>
  <c r="E165" i="3"/>
  <c r="D165" i="3"/>
  <c r="L164" i="3"/>
  <c r="E164" i="3"/>
  <c r="D164" i="3"/>
  <c r="L163" i="3"/>
  <c r="E163" i="3"/>
  <c r="D163" i="3"/>
  <c r="L162" i="3"/>
  <c r="E162" i="3"/>
  <c r="D162" i="3"/>
  <c r="L161" i="3"/>
  <c r="E161" i="3"/>
  <c r="D161" i="3"/>
  <c r="L160" i="3"/>
  <c r="E160" i="3"/>
  <c r="D160" i="3"/>
  <c r="L159" i="3"/>
  <c r="E159" i="3"/>
  <c r="D159" i="3"/>
  <c r="L158" i="3"/>
  <c r="E158" i="3"/>
  <c r="D158" i="3"/>
  <c r="L157" i="3"/>
  <c r="E157" i="3"/>
  <c r="D157" i="3"/>
  <c r="L156" i="3"/>
  <c r="E156" i="3"/>
  <c r="D156" i="3"/>
  <c r="L155" i="3"/>
  <c r="E155" i="3"/>
  <c r="D155" i="3"/>
  <c r="L154" i="3"/>
  <c r="E154" i="3"/>
  <c r="D154" i="3"/>
  <c r="L153" i="3"/>
  <c r="E153" i="3"/>
  <c r="D153" i="3"/>
  <c r="L152" i="3"/>
  <c r="E152" i="3"/>
  <c r="D152" i="3"/>
  <c r="L151" i="3"/>
  <c r="E151" i="3"/>
  <c r="D151" i="3"/>
  <c r="L150" i="3"/>
  <c r="E150" i="3"/>
  <c r="D150" i="3"/>
  <c r="L149" i="3"/>
  <c r="E149" i="3"/>
  <c r="D149" i="3"/>
  <c r="L148" i="3"/>
  <c r="E148" i="3"/>
  <c r="D148" i="3"/>
  <c r="L147" i="3"/>
  <c r="E147" i="3"/>
  <c r="D147" i="3"/>
  <c r="L146" i="3"/>
  <c r="E146" i="3"/>
  <c r="D146" i="3"/>
  <c r="L145" i="3"/>
  <c r="E145" i="3"/>
  <c r="D145" i="3"/>
  <c r="L144" i="3"/>
  <c r="E144" i="3"/>
  <c r="D144" i="3"/>
  <c r="L143" i="3"/>
  <c r="E143" i="3"/>
  <c r="D143" i="3"/>
  <c r="L142" i="3"/>
  <c r="E142" i="3"/>
  <c r="D142" i="3"/>
  <c r="L141" i="3"/>
  <c r="E141" i="3"/>
  <c r="D141" i="3"/>
  <c r="L140" i="3"/>
  <c r="E140" i="3"/>
  <c r="D140" i="3"/>
  <c r="L139" i="3"/>
  <c r="E139" i="3"/>
  <c r="D139" i="3"/>
  <c r="L138" i="3"/>
  <c r="E138" i="3"/>
  <c r="D138" i="3"/>
  <c r="L137" i="3"/>
  <c r="E137" i="3"/>
  <c r="D137" i="3"/>
  <c r="L136" i="3"/>
  <c r="E136" i="3"/>
  <c r="D136" i="3"/>
  <c r="L135" i="3"/>
  <c r="E135" i="3"/>
  <c r="D135" i="3"/>
  <c r="L134" i="3"/>
  <c r="E134" i="3"/>
  <c r="D134" i="3"/>
  <c r="L133" i="3"/>
  <c r="E133" i="3"/>
  <c r="D133" i="3"/>
  <c r="L132" i="3"/>
  <c r="E132" i="3"/>
  <c r="D132" i="3"/>
  <c r="L131" i="3"/>
  <c r="E131" i="3"/>
  <c r="D131" i="3"/>
  <c r="L130" i="3"/>
  <c r="E130" i="3"/>
  <c r="D130" i="3"/>
  <c r="L129" i="3"/>
  <c r="E129" i="3"/>
  <c r="D129" i="3"/>
  <c r="L128" i="3"/>
  <c r="E128" i="3"/>
  <c r="D128" i="3"/>
  <c r="L127" i="3"/>
  <c r="E127" i="3"/>
  <c r="D127" i="3"/>
  <c r="L126" i="3"/>
  <c r="E126" i="3"/>
  <c r="D126" i="3"/>
  <c r="L125" i="3"/>
  <c r="E125" i="3"/>
  <c r="D125" i="3"/>
  <c r="L124" i="3"/>
  <c r="E124" i="3"/>
  <c r="D124" i="3"/>
  <c r="L123" i="3"/>
  <c r="E123" i="3"/>
  <c r="D123" i="3"/>
  <c r="L122" i="3"/>
  <c r="E122" i="3"/>
  <c r="D122" i="3"/>
  <c r="L121" i="3"/>
  <c r="E121" i="3"/>
  <c r="D121" i="3"/>
  <c r="L120" i="3"/>
  <c r="E120" i="3"/>
  <c r="D120" i="3"/>
  <c r="L119" i="3"/>
  <c r="E119" i="3"/>
  <c r="D119" i="3"/>
  <c r="L118" i="3"/>
  <c r="E118" i="3"/>
  <c r="D118" i="3"/>
  <c r="L117" i="3"/>
  <c r="E117" i="3"/>
  <c r="D117" i="3"/>
  <c r="L116" i="3"/>
  <c r="E116" i="3"/>
  <c r="D116" i="3"/>
  <c r="L115" i="3"/>
  <c r="E115" i="3"/>
  <c r="D115" i="3"/>
  <c r="L114" i="3"/>
  <c r="E114" i="3"/>
  <c r="D114" i="3"/>
  <c r="L113" i="3"/>
  <c r="E113" i="3"/>
  <c r="D113" i="3"/>
  <c r="L112" i="3"/>
  <c r="E112" i="3"/>
  <c r="D112" i="3"/>
  <c r="L111" i="3"/>
  <c r="E111" i="3"/>
  <c r="D111" i="3"/>
  <c r="L110" i="3"/>
  <c r="E110" i="3"/>
  <c r="D110" i="3"/>
  <c r="L109" i="3"/>
  <c r="E109" i="3"/>
  <c r="D109" i="3"/>
  <c r="L108" i="3"/>
  <c r="E108" i="3"/>
  <c r="D108" i="3"/>
  <c r="L107" i="3"/>
  <c r="E107" i="3"/>
  <c r="D107" i="3"/>
  <c r="L106" i="3"/>
  <c r="E106" i="3"/>
  <c r="D106" i="3"/>
  <c r="L105" i="3"/>
  <c r="E105" i="3"/>
  <c r="D105" i="3"/>
  <c r="L104" i="3"/>
  <c r="E104" i="3"/>
  <c r="D104" i="3"/>
  <c r="L103" i="3"/>
  <c r="E103" i="3"/>
  <c r="D103" i="3"/>
  <c r="L102" i="3"/>
  <c r="E102" i="3"/>
  <c r="D102" i="3"/>
  <c r="L101" i="3"/>
  <c r="E101" i="3"/>
  <c r="D101" i="3"/>
  <c r="L100" i="3"/>
  <c r="E100" i="3"/>
  <c r="D100" i="3"/>
  <c r="L99" i="3"/>
  <c r="E99" i="3"/>
  <c r="D99" i="3"/>
  <c r="L98" i="3"/>
  <c r="E98" i="3"/>
  <c r="D98" i="3"/>
  <c r="L97" i="3"/>
  <c r="E97" i="3"/>
  <c r="D97" i="3"/>
  <c r="L96" i="3"/>
  <c r="E96" i="3"/>
  <c r="D96" i="3"/>
  <c r="L95" i="3"/>
  <c r="E95" i="3"/>
  <c r="D95" i="3"/>
  <c r="L94" i="3"/>
  <c r="E94" i="3"/>
  <c r="D94" i="3"/>
  <c r="L93" i="3"/>
  <c r="E93" i="3"/>
  <c r="D93" i="3"/>
  <c r="L92" i="3"/>
  <c r="E92" i="3"/>
  <c r="D92" i="3"/>
  <c r="L91" i="3"/>
  <c r="E91" i="3"/>
  <c r="D91" i="3"/>
  <c r="L90" i="3"/>
  <c r="E90" i="3"/>
  <c r="D90" i="3"/>
  <c r="L89" i="3"/>
  <c r="E89" i="3"/>
  <c r="D89" i="3"/>
  <c r="L88" i="3"/>
  <c r="E88" i="3"/>
  <c r="D88" i="3"/>
  <c r="L87" i="3"/>
  <c r="E87" i="3"/>
  <c r="D87" i="3"/>
  <c r="L86" i="3"/>
  <c r="E86" i="3"/>
  <c r="D86" i="3"/>
  <c r="L85" i="3"/>
  <c r="E85" i="3"/>
  <c r="D85" i="3"/>
  <c r="L84" i="3"/>
  <c r="E84" i="3"/>
  <c r="D84" i="3"/>
  <c r="L83" i="3"/>
  <c r="E83" i="3"/>
  <c r="D83" i="3"/>
  <c r="L82" i="3"/>
  <c r="E82" i="3"/>
  <c r="D82" i="3"/>
  <c r="L81" i="3"/>
  <c r="E81" i="3"/>
  <c r="D81" i="3"/>
  <c r="L80" i="3"/>
  <c r="E80" i="3"/>
  <c r="D80" i="3"/>
  <c r="L79" i="3"/>
  <c r="E79" i="3"/>
  <c r="D79" i="3"/>
  <c r="L78" i="3"/>
  <c r="E78" i="3"/>
  <c r="D78" i="3"/>
  <c r="L77" i="3"/>
  <c r="E77" i="3"/>
  <c r="D77" i="3"/>
  <c r="L76" i="3"/>
  <c r="E76" i="3"/>
  <c r="D76" i="3"/>
  <c r="L75" i="3"/>
  <c r="E75" i="3"/>
  <c r="D75" i="3"/>
  <c r="L74" i="3"/>
  <c r="E74" i="3"/>
  <c r="D74" i="3"/>
  <c r="L73" i="3"/>
  <c r="E73" i="3"/>
  <c r="D73" i="3"/>
  <c r="L72" i="3"/>
  <c r="E72" i="3"/>
  <c r="D72" i="3"/>
  <c r="L71" i="3"/>
  <c r="E71" i="3"/>
  <c r="D71" i="3"/>
  <c r="L70" i="3"/>
  <c r="E70" i="3"/>
  <c r="D70" i="3"/>
  <c r="L69" i="3"/>
  <c r="E69" i="3"/>
  <c r="D69" i="3"/>
  <c r="L68" i="3"/>
  <c r="E68" i="3"/>
  <c r="D68" i="3"/>
  <c r="L67" i="3"/>
  <c r="E67" i="3"/>
  <c r="D67" i="3"/>
  <c r="L66" i="3"/>
  <c r="E66" i="3"/>
  <c r="D66" i="3"/>
  <c r="L65" i="3"/>
  <c r="E65" i="3"/>
  <c r="D65" i="3"/>
  <c r="L64" i="3"/>
  <c r="E64" i="3"/>
  <c r="D64" i="3"/>
  <c r="L63" i="3"/>
  <c r="E63" i="3"/>
  <c r="D63" i="3"/>
  <c r="L62" i="3"/>
  <c r="E62" i="3"/>
  <c r="D62" i="3"/>
  <c r="L61" i="3"/>
  <c r="E61" i="3"/>
  <c r="D61" i="3"/>
  <c r="L60" i="3"/>
  <c r="E60" i="3"/>
  <c r="D60" i="3"/>
  <c r="L59" i="3"/>
  <c r="E59" i="3"/>
  <c r="D59" i="3"/>
  <c r="L58" i="3"/>
  <c r="E58" i="3"/>
  <c r="D58" i="3"/>
  <c r="L57" i="3"/>
  <c r="E57" i="3"/>
  <c r="D57" i="3"/>
  <c r="L56" i="3"/>
  <c r="E56" i="3"/>
  <c r="D56" i="3"/>
  <c r="L55" i="3"/>
  <c r="E55" i="3"/>
  <c r="D55" i="3"/>
  <c r="L54" i="3"/>
  <c r="E54" i="3"/>
  <c r="D54" i="3"/>
  <c r="L53" i="3"/>
  <c r="E53" i="3"/>
  <c r="D53" i="3"/>
  <c r="L52" i="3"/>
  <c r="E52" i="3"/>
  <c r="D52" i="3"/>
  <c r="L51" i="3"/>
  <c r="E51" i="3"/>
  <c r="D51" i="3"/>
  <c r="L50" i="3"/>
  <c r="E50" i="3"/>
  <c r="D50" i="3"/>
  <c r="L49" i="3"/>
  <c r="E49" i="3"/>
  <c r="D49" i="3"/>
  <c r="L48" i="3"/>
  <c r="E48" i="3"/>
  <c r="D48" i="3"/>
  <c r="L47" i="3"/>
  <c r="E47" i="3"/>
  <c r="D47" i="3"/>
  <c r="L46" i="3"/>
  <c r="E46" i="3"/>
  <c r="D46" i="3"/>
  <c r="L45" i="3"/>
  <c r="E45" i="3"/>
  <c r="D45" i="3"/>
  <c r="L44" i="3"/>
  <c r="E44" i="3"/>
  <c r="D44" i="3"/>
  <c r="L43" i="3"/>
  <c r="E43" i="3"/>
  <c r="D43" i="3"/>
  <c r="L42" i="3"/>
  <c r="E42" i="3"/>
  <c r="D42" i="3"/>
  <c r="L41" i="3"/>
  <c r="E41" i="3"/>
  <c r="D41" i="3"/>
  <c r="L40" i="3"/>
  <c r="E40" i="3"/>
  <c r="D40" i="3"/>
  <c r="L39" i="3"/>
  <c r="E39" i="3"/>
  <c r="D39" i="3"/>
  <c r="L38" i="3"/>
  <c r="E38" i="3"/>
  <c r="D38" i="3"/>
  <c r="L37" i="3"/>
  <c r="E37" i="3"/>
  <c r="D37" i="3"/>
  <c r="L36" i="3"/>
  <c r="E36" i="3"/>
  <c r="D36" i="3"/>
  <c r="L35" i="3"/>
  <c r="E35" i="3"/>
  <c r="D35" i="3"/>
  <c r="L34" i="3"/>
  <c r="E34" i="3"/>
  <c r="D34" i="3"/>
  <c r="L33" i="3"/>
  <c r="E33" i="3"/>
  <c r="D33" i="3"/>
  <c r="L32" i="3"/>
  <c r="E32" i="3"/>
  <c r="D32" i="3"/>
  <c r="L31" i="3"/>
  <c r="E31" i="3"/>
  <c r="D31" i="3"/>
  <c r="L30" i="3"/>
  <c r="E30" i="3"/>
  <c r="D30" i="3"/>
  <c r="L29" i="3"/>
  <c r="E29" i="3"/>
  <c r="D29" i="3"/>
  <c r="L28" i="3"/>
  <c r="E28" i="3"/>
  <c r="D28" i="3"/>
  <c r="L27" i="3"/>
  <c r="E27" i="3"/>
  <c r="D27" i="3"/>
  <c r="L26" i="3"/>
  <c r="E26" i="3"/>
  <c r="D26" i="3"/>
  <c r="L25" i="3"/>
  <c r="E25" i="3"/>
  <c r="D25" i="3"/>
  <c r="L24" i="3"/>
  <c r="E24" i="3"/>
  <c r="D24" i="3"/>
  <c r="L23" i="3"/>
  <c r="E23" i="3"/>
  <c r="D23" i="3"/>
  <c r="L22" i="3"/>
  <c r="E22" i="3"/>
  <c r="D22" i="3"/>
  <c r="L21" i="3"/>
  <c r="E21" i="3"/>
  <c r="D21" i="3"/>
  <c r="L20" i="3"/>
  <c r="E20" i="3"/>
  <c r="D20" i="3"/>
  <c r="L19" i="3"/>
  <c r="E19" i="3"/>
  <c r="D19" i="3"/>
  <c r="L18" i="3"/>
  <c r="E18" i="3"/>
  <c r="D18" i="3"/>
  <c r="L17" i="3"/>
  <c r="E17" i="3"/>
  <c r="D17" i="3"/>
  <c r="L16" i="3"/>
  <c r="E16" i="3"/>
  <c r="D16" i="3"/>
  <c r="L15" i="3"/>
  <c r="E15" i="3"/>
  <c r="D15" i="3"/>
  <c r="L14" i="3"/>
  <c r="E14" i="3"/>
  <c r="D14" i="3"/>
  <c r="L13" i="3"/>
  <c r="E13" i="3"/>
  <c r="D13" i="3"/>
  <c r="L12" i="3"/>
  <c r="E12" i="3"/>
  <c r="D12" i="3"/>
  <c r="L11" i="3"/>
  <c r="E11" i="3"/>
  <c r="D11" i="3"/>
  <c r="L10" i="3"/>
  <c r="E10" i="3"/>
  <c r="D10" i="3"/>
  <c r="L9" i="3"/>
  <c r="E9" i="3"/>
  <c r="D9" i="3"/>
  <c r="L8" i="3"/>
  <c r="E8" i="3"/>
  <c r="D8" i="3"/>
  <c r="L7" i="3"/>
  <c r="E7" i="3"/>
  <c r="D7" i="3"/>
  <c r="L6" i="3"/>
  <c r="E6" i="3"/>
  <c r="D6" i="3"/>
  <c r="L5" i="3"/>
  <c r="E5" i="3"/>
  <c r="D5" i="3"/>
  <c r="L4" i="3"/>
  <c r="E4" i="3"/>
  <c r="D4" i="3"/>
  <c r="L3" i="3"/>
  <c r="E3" i="3"/>
  <c r="D3" i="3"/>
  <c r="L2" i="3"/>
  <c r="E2" i="3"/>
  <c r="D2" i="3"/>
  <c r="Q500" i="2"/>
  <c r="P500" i="2"/>
  <c r="O500" i="2"/>
  <c r="N500" i="2"/>
  <c r="M500" i="2"/>
  <c r="L500" i="2"/>
  <c r="K500" i="2"/>
  <c r="Q499" i="2"/>
  <c r="P499" i="2"/>
  <c r="O499" i="2"/>
  <c r="N499" i="2"/>
  <c r="M499" i="2"/>
  <c r="L499" i="2"/>
  <c r="K499" i="2"/>
  <c r="Q498" i="2"/>
  <c r="P498" i="2"/>
  <c r="O498" i="2"/>
  <c r="N498" i="2"/>
  <c r="M498" i="2"/>
  <c r="L498" i="2"/>
  <c r="K498" i="2"/>
  <c r="Q497" i="2"/>
  <c r="P497" i="2"/>
  <c r="O497" i="2"/>
  <c r="N497" i="2"/>
  <c r="M497" i="2"/>
  <c r="L497" i="2"/>
  <c r="K497" i="2"/>
  <c r="Q496" i="2"/>
  <c r="P496" i="2"/>
  <c r="O496" i="2"/>
  <c r="N496" i="2"/>
  <c r="M496" i="2"/>
  <c r="L496" i="2"/>
  <c r="K496" i="2"/>
  <c r="Q495" i="2"/>
  <c r="P495" i="2"/>
  <c r="O495" i="2"/>
  <c r="N495" i="2"/>
  <c r="M495" i="2"/>
  <c r="L495" i="2"/>
  <c r="K495" i="2"/>
  <c r="Q494" i="2"/>
  <c r="P494" i="2"/>
  <c r="O494" i="2"/>
  <c r="N494" i="2"/>
  <c r="M494" i="2"/>
  <c r="L494" i="2"/>
  <c r="K494" i="2"/>
  <c r="Q493" i="2"/>
  <c r="P493" i="2"/>
  <c r="O493" i="2"/>
  <c r="N493" i="2"/>
  <c r="M493" i="2"/>
  <c r="L493" i="2"/>
  <c r="K493" i="2"/>
  <c r="Q492" i="2"/>
  <c r="P492" i="2"/>
  <c r="O492" i="2"/>
  <c r="N492" i="2"/>
  <c r="M492" i="2"/>
  <c r="L492" i="2"/>
  <c r="K492" i="2"/>
  <c r="Q491" i="2"/>
  <c r="P491" i="2"/>
  <c r="O491" i="2"/>
  <c r="N491" i="2"/>
  <c r="M491" i="2"/>
  <c r="L491" i="2"/>
  <c r="K491" i="2"/>
  <c r="Q490" i="2"/>
  <c r="P490" i="2"/>
  <c r="O490" i="2"/>
  <c r="N490" i="2"/>
  <c r="M490" i="2"/>
  <c r="L490" i="2"/>
  <c r="K490" i="2"/>
  <c r="Q489" i="2"/>
  <c r="P489" i="2"/>
  <c r="O489" i="2"/>
  <c r="N489" i="2"/>
  <c r="M489" i="2"/>
  <c r="L489" i="2"/>
  <c r="K489" i="2"/>
  <c r="Q488" i="2"/>
  <c r="P488" i="2"/>
  <c r="O488" i="2"/>
  <c r="N488" i="2"/>
  <c r="M488" i="2"/>
  <c r="L488" i="2"/>
  <c r="K488" i="2"/>
  <c r="Q487" i="2"/>
  <c r="P487" i="2"/>
  <c r="O487" i="2"/>
  <c r="N487" i="2"/>
  <c r="M487" i="2"/>
  <c r="L487" i="2"/>
  <c r="K487" i="2"/>
  <c r="Q486" i="2"/>
  <c r="P486" i="2"/>
  <c r="O486" i="2"/>
  <c r="N486" i="2"/>
  <c r="M486" i="2"/>
  <c r="L486" i="2"/>
  <c r="K486" i="2"/>
  <c r="Q485" i="2"/>
  <c r="P485" i="2"/>
  <c r="O485" i="2"/>
  <c r="N485" i="2"/>
  <c r="M485" i="2"/>
  <c r="L485" i="2"/>
  <c r="K485" i="2"/>
  <c r="Q484" i="2"/>
  <c r="P484" i="2"/>
  <c r="O484" i="2"/>
  <c r="N484" i="2"/>
  <c r="M484" i="2"/>
  <c r="L484" i="2"/>
  <c r="K484" i="2"/>
  <c r="Q483" i="2"/>
  <c r="P483" i="2"/>
  <c r="O483" i="2"/>
  <c r="N483" i="2"/>
  <c r="M483" i="2"/>
  <c r="L483" i="2"/>
  <c r="K483" i="2"/>
  <c r="Q482" i="2"/>
  <c r="P482" i="2"/>
  <c r="O482" i="2"/>
  <c r="N482" i="2"/>
  <c r="M482" i="2"/>
  <c r="L482" i="2"/>
  <c r="K482" i="2"/>
  <c r="Q481" i="2"/>
  <c r="P481" i="2"/>
  <c r="O481" i="2"/>
  <c r="N481" i="2"/>
  <c r="M481" i="2"/>
  <c r="L481" i="2"/>
  <c r="K481" i="2"/>
  <c r="Q480" i="2"/>
  <c r="P480" i="2"/>
  <c r="O480" i="2"/>
  <c r="N480" i="2"/>
  <c r="M480" i="2"/>
  <c r="L480" i="2"/>
  <c r="K480" i="2"/>
  <c r="Q479" i="2"/>
  <c r="P479" i="2"/>
  <c r="O479" i="2"/>
  <c r="N479" i="2"/>
  <c r="M479" i="2"/>
  <c r="L479" i="2"/>
  <c r="K479" i="2"/>
  <c r="Q478" i="2"/>
  <c r="P478" i="2"/>
  <c r="O478" i="2"/>
  <c r="N478" i="2"/>
  <c r="M478" i="2"/>
  <c r="L478" i="2"/>
  <c r="K478" i="2"/>
  <c r="Q477" i="2"/>
  <c r="P477" i="2"/>
  <c r="O477" i="2"/>
  <c r="N477" i="2"/>
  <c r="M477" i="2"/>
  <c r="L477" i="2"/>
  <c r="K477" i="2"/>
  <c r="Q476" i="2"/>
  <c r="P476" i="2"/>
  <c r="O476" i="2"/>
  <c r="N476" i="2"/>
  <c r="M476" i="2"/>
  <c r="L476" i="2"/>
  <c r="K476" i="2"/>
  <c r="Q475" i="2"/>
  <c r="P475" i="2"/>
  <c r="O475" i="2"/>
  <c r="N475" i="2"/>
  <c r="M475" i="2"/>
  <c r="L475" i="2"/>
  <c r="K475" i="2"/>
  <c r="Q474" i="2"/>
  <c r="P474" i="2"/>
  <c r="O474" i="2"/>
  <c r="N474" i="2"/>
  <c r="M474" i="2"/>
  <c r="L474" i="2"/>
  <c r="K474" i="2"/>
  <c r="Q473" i="2"/>
  <c r="P473" i="2"/>
  <c r="O473" i="2"/>
  <c r="N473" i="2"/>
  <c r="M473" i="2"/>
  <c r="L473" i="2"/>
  <c r="K473" i="2"/>
  <c r="Q472" i="2"/>
  <c r="P472" i="2"/>
  <c r="O472" i="2"/>
  <c r="N472" i="2"/>
  <c r="M472" i="2"/>
  <c r="L472" i="2"/>
  <c r="K472" i="2"/>
  <c r="Q471" i="2"/>
  <c r="P471" i="2"/>
  <c r="O471" i="2"/>
  <c r="N471" i="2"/>
  <c r="M471" i="2"/>
  <c r="L471" i="2"/>
  <c r="K471" i="2"/>
  <c r="Q470" i="2"/>
  <c r="P470" i="2"/>
  <c r="O470" i="2"/>
  <c r="N470" i="2"/>
  <c r="M470" i="2"/>
  <c r="L470" i="2"/>
  <c r="K470" i="2"/>
  <c r="Q469" i="2"/>
  <c r="P469" i="2"/>
  <c r="O469" i="2"/>
  <c r="N469" i="2"/>
  <c r="M469" i="2"/>
  <c r="L469" i="2"/>
  <c r="K469" i="2"/>
  <c r="Q468" i="2"/>
  <c r="P468" i="2"/>
  <c r="O468" i="2"/>
  <c r="N468" i="2"/>
  <c r="M468" i="2"/>
  <c r="L468" i="2"/>
  <c r="K468" i="2"/>
  <c r="Q467" i="2"/>
  <c r="P467" i="2"/>
  <c r="O467" i="2"/>
  <c r="N467" i="2"/>
  <c r="M467" i="2"/>
  <c r="L467" i="2"/>
  <c r="K467" i="2"/>
  <c r="Q466" i="2"/>
  <c r="P466" i="2"/>
  <c r="O466" i="2"/>
  <c r="N466" i="2"/>
  <c r="M466" i="2"/>
  <c r="L466" i="2"/>
  <c r="K466" i="2"/>
  <c r="Q465" i="2"/>
  <c r="P465" i="2"/>
  <c r="O465" i="2"/>
  <c r="N465" i="2"/>
  <c r="M465" i="2"/>
  <c r="L465" i="2"/>
  <c r="K465" i="2"/>
  <c r="Q464" i="2"/>
  <c r="P464" i="2"/>
  <c r="O464" i="2"/>
  <c r="N464" i="2"/>
  <c r="M464" i="2"/>
  <c r="L464" i="2"/>
  <c r="K464" i="2"/>
  <c r="Q463" i="2"/>
  <c r="P463" i="2"/>
  <c r="O463" i="2"/>
  <c r="N463" i="2"/>
  <c r="M463" i="2"/>
  <c r="L463" i="2"/>
  <c r="K463" i="2"/>
  <c r="Q462" i="2"/>
  <c r="P462" i="2"/>
  <c r="O462" i="2"/>
  <c r="N462" i="2"/>
  <c r="M462" i="2"/>
  <c r="L462" i="2"/>
  <c r="K462" i="2"/>
  <c r="Q461" i="2"/>
  <c r="P461" i="2"/>
  <c r="O461" i="2"/>
  <c r="N461" i="2"/>
  <c r="M461" i="2"/>
  <c r="L461" i="2"/>
  <c r="K461" i="2"/>
  <c r="Q460" i="2"/>
  <c r="P460" i="2"/>
  <c r="O460" i="2"/>
  <c r="N460" i="2"/>
  <c r="M460" i="2"/>
  <c r="L460" i="2"/>
  <c r="K460" i="2"/>
  <c r="Q459" i="2"/>
  <c r="P459" i="2"/>
  <c r="O459" i="2"/>
  <c r="N459" i="2"/>
  <c r="M459" i="2"/>
  <c r="L459" i="2"/>
  <c r="K459" i="2"/>
  <c r="Q458" i="2"/>
  <c r="P458" i="2"/>
  <c r="O458" i="2"/>
  <c r="N458" i="2"/>
  <c r="M458" i="2"/>
  <c r="L458" i="2"/>
  <c r="K458" i="2"/>
  <c r="Q457" i="2"/>
  <c r="P457" i="2"/>
  <c r="O457" i="2"/>
  <c r="N457" i="2"/>
  <c r="M457" i="2"/>
  <c r="L457" i="2"/>
  <c r="K457" i="2"/>
  <c r="Q456" i="2"/>
  <c r="P456" i="2"/>
  <c r="O456" i="2"/>
  <c r="N456" i="2"/>
  <c r="M456" i="2"/>
  <c r="L456" i="2"/>
  <c r="K456" i="2"/>
  <c r="Q455" i="2"/>
  <c r="P455" i="2"/>
  <c r="O455" i="2"/>
  <c r="N455" i="2"/>
  <c r="M455" i="2"/>
  <c r="L455" i="2"/>
  <c r="K455" i="2"/>
  <c r="Q454" i="2"/>
  <c r="P454" i="2"/>
  <c r="O454" i="2"/>
  <c r="N454" i="2"/>
  <c r="M454" i="2"/>
  <c r="L454" i="2"/>
  <c r="K454" i="2"/>
  <c r="Q453" i="2"/>
  <c r="P453" i="2"/>
  <c r="O453" i="2"/>
  <c r="N453" i="2"/>
  <c r="M453" i="2"/>
  <c r="L453" i="2"/>
  <c r="K453" i="2"/>
  <c r="Q452" i="2"/>
  <c r="P452" i="2"/>
  <c r="O452" i="2"/>
  <c r="N452" i="2"/>
  <c r="M452" i="2"/>
  <c r="L452" i="2"/>
  <c r="K452" i="2"/>
  <c r="Q451" i="2"/>
  <c r="P451" i="2"/>
  <c r="O451" i="2"/>
  <c r="N451" i="2"/>
  <c r="M451" i="2"/>
  <c r="L451" i="2"/>
  <c r="K451" i="2"/>
  <c r="Q450" i="2"/>
  <c r="P450" i="2"/>
  <c r="O450" i="2"/>
  <c r="N450" i="2"/>
  <c r="M450" i="2"/>
  <c r="L450" i="2"/>
  <c r="K450" i="2"/>
  <c r="Q449" i="2"/>
  <c r="P449" i="2"/>
  <c r="O449" i="2"/>
  <c r="N449" i="2"/>
  <c r="M449" i="2"/>
  <c r="L449" i="2"/>
  <c r="K449" i="2"/>
  <c r="Q448" i="2"/>
  <c r="P448" i="2"/>
  <c r="O448" i="2"/>
  <c r="N448" i="2"/>
  <c r="M448" i="2"/>
  <c r="L448" i="2"/>
  <c r="K448" i="2"/>
  <c r="Q447" i="2"/>
  <c r="P447" i="2"/>
  <c r="O447" i="2"/>
  <c r="N447" i="2"/>
  <c r="M447" i="2"/>
  <c r="L447" i="2"/>
  <c r="K447" i="2"/>
  <c r="Q446" i="2"/>
  <c r="P446" i="2"/>
  <c r="O446" i="2"/>
  <c r="N446" i="2"/>
  <c r="M446" i="2"/>
  <c r="L446" i="2"/>
  <c r="K446" i="2"/>
  <c r="Q445" i="2"/>
  <c r="P445" i="2"/>
  <c r="O445" i="2"/>
  <c r="N445" i="2"/>
  <c r="M445" i="2"/>
  <c r="L445" i="2"/>
  <c r="K445" i="2"/>
  <c r="Q444" i="2"/>
  <c r="P444" i="2"/>
  <c r="O444" i="2"/>
  <c r="N444" i="2"/>
  <c r="M444" i="2"/>
  <c r="L444" i="2"/>
  <c r="K444" i="2"/>
  <c r="Q443" i="2"/>
  <c r="P443" i="2"/>
  <c r="O443" i="2"/>
  <c r="N443" i="2"/>
  <c r="M443" i="2"/>
  <c r="L443" i="2"/>
  <c r="K443" i="2"/>
  <c r="Q442" i="2"/>
  <c r="P442" i="2"/>
  <c r="O442" i="2"/>
  <c r="N442" i="2"/>
  <c r="M442" i="2"/>
  <c r="L442" i="2"/>
  <c r="K442" i="2"/>
  <c r="Q441" i="2"/>
  <c r="P441" i="2"/>
  <c r="O441" i="2"/>
  <c r="N441" i="2"/>
  <c r="M441" i="2"/>
  <c r="L441" i="2"/>
  <c r="K441" i="2"/>
  <c r="Q440" i="2"/>
  <c r="P440" i="2"/>
  <c r="O440" i="2"/>
  <c r="N440" i="2"/>
  <c r="M440" i="2"/>
  <c r="L440" i="2"/>
  <c r="K440" i="2"/>
  <c r="Q439" i="2"/>
  <c r="P439" i="2"/>
  <c r="O439" i="2"/>
  <c r="N439" i="2"/>
  <c r="M439" i="2"/>
  <c r="L439" i="2"/>
  <c r="K439" i="2"/>
  <c r="Q438" i="2"/>
  <c r="P438" i="2"/>
  <c r="O438" i="2"/>
  <c r="N438" i="2"/>
  <c r="M438" i="2"/>
  <c r="L438" i="2"/>
  <c r="K438" i="2"/>
  <c r="Q437" i="2"/>
  <c r="P437" i="2"/>
  <c r="O437" i="2"/>
  <c r="N437" i="2"/>
  <c r="M437" i="2"/>
  <c r="L437" i="2"/>
  <c r="K437" i="2"/>
  <c r="Q436" i="2"/>
  <c r="P436" i="2"/>
  <c r="O436" i="2"/>
  <c r="N436" i="2"/>
  <c r="M436" i="2"/>
  <c r="L436" i="2"/>
  <c r="K436" i="2"/>
  <c r="Q435" i="2"/>
  <c r="P435" i="2"/>
  <c r="O435" i="2"/>
  <c r="N435" i="2"/>
  <c r="M435" i="2"/>
  <c r="L435" i="2"/>
  <c r="K435" i="2"/>
  <c r="Q434" i="2"/>
  <c r="P434" i="2"/>
  <c r="O434" i="2"/>
  <c r="N434" i="2"/>
  <c r="M434" i="2"/>
  <c r="L434" i="2"/>
  <c r="K434" i="2"/>
  <c r="Q433" i="2"/>
  <c r="P433" i="2"/>
  <c r="O433" i="2"/>
  <c r="N433" i="2"/>
  <c r="M433" i="2"/>
  <c r="L433" i="2"/>
  <c r="K433" i="2"/>
  <c r="Q432" i="2"/>
  <c r="P432" i="2"/>
  <c r="O432" i="2"/>
  <c r="N432" i="2"/>
  <c r="M432" i="2"/>
  <c r="L432" i="2"/>
  <c r="K432" i="2"/>
  <c r="Q431" i="2"/>
  <c r="P431" i="2"/>
  <c r="O431" i="2"/>
  <c r="N431" i="2"/>
  <c r="M431" i="2"/>
  <c r="L431" i="2"/>
  <c r="K431" i="2"/>
  <c r="Q430" i="2"/>
  <c r="P430" i="2"/>
  <c r="O430" i="2"/>
  <c r="N430" i="2"/>
  <c r="M430" i="2"/>
  <c r="L430" i="2"/>
  <c r="K430" i="2"/>
  <c r="Q429" i="2"/>
  <c r="P429" i="2"/>
  <c r="O429" i="2"/>
  <c r="N429" i="2"/>
  <c r="M429" i="2"/>
  <c r="L429" i="2"/>
  <c r="K429" i="2"/>
  <c r="Q428" i="2"/>
  <c r="P428" i="2"/>
  <c r="O428" i="2"/>
  <c r="N428" i="2"/>
  <c r="M428" i="2"/>
  <c r="L428" i="2"/>
  <c r="K428" i="2"/>
  <c r="Q427" i="2"/>
  <c r="P427" i="2"/>
  <c r="O427" i="2"/>
  <c r="N427" i="2"/>
  <c r="M427" i="2"/>
  <c r="L427" i="2"/>
  <c r="K427" i="2"/>
  <c r="Q426" i="2"/>
  <c r="P426" i="2"/>
  <c r="O426" i="2"/>
  <c r="N426" i="2"/>
  <c r="M426" i="2"/>
  <c r="L426" i="2"/>
  <c r="K426" i="2"/>
  <c r="Q425" i="2"/>
  <c r="P425" i="2"/>
  <c r="O425" i="2"/>
  <c r="N425" i="2"/>
  <c r="M425" i="2"/>
  <c r="L425" i="2"/>
  <c r="K425" i="2"/>
  <c r="Q424" i="2"/>
  <c r="P424" i="2"/>
  <c r="O424" i="2"/>
  <c r="N424" i="2"/>
  <c r="M424" i="2"/>
  <c r="L424" i="2"/>
  <c r="K424" i="2"/>
  <c r="Q423" i="2"/>
  <c r="P423" i="2"/>
  <c r="O423" i="2"/>
  <c r="N423" i="2"/>
  <c r="M423" i="2"/>
  <c r="L423" i="2"/>
  <c r="K423" i="2"/>
  <c r="Q422" i="2"/>
  <c r="P422" i="2"/>
  <c r="O422" i="2"/>
  <c r="N422" i="2"/>
  <c r="M422" i="2"/>
  <c r="L422" i="2"/>
  <c r="K422" i="2"/>
  <c r="Q421" i="2"/>
  <c r="P421" i="2"/>
  <c r="O421" i="2"/>
  <c r="N421" i="2"/>
  <c r="M421" i="2"/>
  <c r="L421" i="2"/>
  <c r="K421" i="2"/>
  <c r="Q420" i="2"/>
  <c r="P420" i="2"/>
  <c r="O420" i="2"/>
  <c r="N420" i="2"/>
  <c r="M420" i="2"/>
  <c r="L420" i="2"/>
  <c r="K420" i="2"/>
  <c r="Q419" i="2"/>
  <c r="P419" i="2"/>
  <c r="O419" i="2"/>
  <c r="N419" i="2"/>
  <c r="M419" i="2"/>
  <c r="L419" i="2"/>
  <c r="K419" i="2"/>
  <c r="Q418" i="2"/>
  <c r="P418" i="2"/>
  <c r="O418" i="2"/>
  <c r="N418" i="2"/>
  <c r="M418" i="2"/>
  <c r="L418" i="2"/>
  <c r="K418" i="2"/>
  <c r="Q417" i="2"/>
  <c r="P417" i="2"/>
  <c r="O417" i="2"/>
  <c r="N417" i="2"/>
  <c r="M417" i="2"/>
  <c r="L417" i="2"/>
  <c r="K417" i="2"/>
  <c r="Q416" i="2"/>
  <c r="P416" i="2"/>
  <c r="O416" i="2"/>
  <c r="N416" i="2"/>
  <c r="M416" i="2"/>
  <c r="L416" i="2"/>
  <c r="K416" i="2"/>
  <c r="Q415" i="2"/>
  <c r="P415" i="2"/>
  <c r="O415" i="2"/>
  <c r="N415" i="2"/>
  <c r="M415" i="2"/>
  <c r="L415" i="2"/>
  <c r="K415" i="2"/>
  <c r="Q414" i="2"/>
  <c r="P414" i="2"/>
  <c r="O414" i="2"/>
  <c r="N414" i="2"/>
  <c r="M414" i="2"/>
  <c r="L414" i="2"/>
  <c r="K414" i="2"/>
  <c r="Q413" i="2"/>
  <c r="P413" i="2"/>
  <c r="O413" i="2"/>
  <c r="N413" i="2"/>
  <c r="M413" i="2"/>
  <c r="L413" i="2"/>
  <c r="K413" i="2"/>
  <c r="Q412" i="2"/>
  <c r="P412" i="2"/>
  <c r="O412" i="2"/>
  <c r="N412" i="2"/>
  <c r="M412" i="2"/>
  <c r="L412" i="2"/>
  <c r="K412" i="2"/>
  <c r="Q411" i="2"/>
  <c r="P411" i="2"/>
  <c r="O411" i="2"/>
  <c r="N411" i="2"/>
  <c r="M411" i="2"/>
  <c r="L411" i="2"/>
  <c r="K411" i="2"/>
  <c r="Q410" i="2"/>
  <c r="P410" i="2"/>
  <c r="O410" i="2"/>
  <c r="N410" i="2"/>
  <c r="M410" i="2"/>
  <c r="L410" i="2"/>
  <c r="K410" i="2"/>
  <c r="Q409" i="2"/>
  <c r="P409" i="2"/>
  <c r="O409" i="2"/>
  <c r="N409" i="2"/>
  <c r="M409" i="2"/>
  <c r="L409" i="2"/>
  <c r="K409" i="2"/>
  <c r="Q408" i="2"/>
  <c r="P408" i="2"/>
  <c r="O408" i="2"/>
  <c r="N408" i="2"/>
  <c r="M408" i="2"/>
  <c r="L408" i="2"/>
  <c r="K408" i="2"/>
  <c r="Q407" i="2"/>
  <c r="P407" i="2"/>
  <c r="O407" i="2"/>
  <c r="N407" i="2"/>
  <c r="M407" i="2"/>
  <c r="L407" i="2"/>
  <c r="K407" i="2"/>
  <c r="Q406" i="2"/>
  <c r="P406" i="2"/>
  <c r="O406" i="2"/>
  <c r="N406" i="2"/>
  <c r="M406" i="2"/>
  <c r="L406" i="2"/>
  <c r="K406" i="2"/>
  <c r="Q405" i="2"/>
  <c r="P405" i="2"/>
  <c r="O405" i="2"/>
  <c r="N405" i="2"/>
  <c r="M405" i="2"/>
  <c r="L405" i="2"/>
  <c r="K405" i="2"/>
  <c r="Q404" i="2"/>
  <c r="P404" i="2"/>
  <c r="O404" i="2"/>
  <c r="N404" i="2"/>
  <c r="M404" i="2"/>
  <c r="L404" i="2"/>
  <c r="K404" i="2"/>
  <c r="Q403" i="2"/>
  <c r="P403" i="2"/>
  <c r="O403" i="2"/>
  <c r="N403" i="2"/>
  <c r="M403" i="2"/>
  <c r="L403" i="2"/>
  <c r="K403" i="2"/>
  <c r="Q402" i="2"/>
  <c r="P402" i="2"/>
  <c r="O402" i="2"/>
  <c r="N402" i="2"/>
  <c r="M402" i="2"/>
  <c r="L402" i="2"/>
  <c r="K402" i="2"/>
  <c r="Q401" i="2"/>
  <c r="P401" i="2"/>
  <c r="O401" i="2"/>
  <c r="N401" i="2"/>
  <c r="M401" i="2"/>
  <c r="L401" i="2"/>
  <c r="K401" i="2"/>
  <c r="Q400" i="2"/>
  <c r="P400" i="2"/>
  <c r="O400" i="2"/>
  <c r="N400" i="2"/>
  <c r="M400" i="2"/>
  <c r="L400" i="2"/>
  <c r="K400" i="2"/>
  <c r="Q399" i="2"/>
  <c r="P399" i="2"/>
  <c r="O399" i="2"/>
  <c r="N399" i="2"/>
  <c r="M399" i="2"/>
  <c r="L399" i="2"/>
  <c r="K399" i="2"/>
  <c r="Q398" i="2"/>
  <c r="P398" i="2"/>
  <c r="O398" i="2"/>
  <c r="N398" i="2"/>
  <c r="M398" i="2"/>
  <c r="L398" i="2"/>
  <c r="K398" i="2"/>
  <c r="Q397" i="2"/>
  <c r="P397" i="2"/>
  <c r="O397" i="2"/>
  <c r="N397" i="2"/>
  <c r="M397" i="2"/>
  <c r="L397" i="2"/>
  <c r="K397" i="2"/>
  <c r="Q396" i="2"/>
  <c r="P396" i="2"/>
  <c r="O396" i="2"/>
  <c r="N396" i="2"/>
  <c r="M396" i="2"/>
  <c r="L396" i="2"/>
  <c r="K396" i="2"/>
  <c r="Q395" i="2"/>
  <c r="P395" i="2"/>
  <c r="O395" i="2"/>
  <c r="N395" i="2"/>
  <c r="M395" i="2"/>
  <c r="L395" i="2"/>
  <c r="K395" i="2"/>
  <c r="Q394" i="2"/>
  <c r="P394" i="2"/>
  <c r="O394" i="2"/>
  <c r="N394" i="2"/>
  <c r="M394" i="2"/>
  <c r="L394" i="2"/>
  <c r="K394" i="2"/>
  <c r="Q393" i="2"/>
  <c r="P393" i="2"/>
  <c r="O393" i="2"/>
  <c r="N393" i="2"/>
  <c r="M393" i="2"/>
  <c r="L393" i="2"/>
  <c r="K393" i="2"/>
  <c r="Q392" i="2"/>
  <c r="P392" i="2"/>
  <c r="O392" i="2"/>
  <c r="N392" i="2"/>
  <c r="M392" i="2"/>
  <c r="L392" i="2"/>
  <c r="K392" i="2"/>
  <c r="Q391" i="2"/>
  <c r="P391" i="2"/>
  <c r="O391" i="2"/>
  <c r="N391" i="2"/>
  <c r="M391" i="2"/>
  <c r="L391" i="2"/>
  <c r="K391" i="2"/>
  <c r="Q390" i="2"/>
  <c r="P390" i="2"/>
  <c r="O390" i="2"/>
  <c r="N390" i="2"/>
  <c r="M390" i="2"/>
  <c r="L390" i="2"/>
  <c r="K390" i="2"/>
  <c r="Q389" i="2"/>
  <c r="P389" i="2"/>
  <c r="O389" i="2"/>
  <c r="N389" i="2"/>
  <c r="M389" i="2"/>
  <c r="L389" i="2"/>
  <c r="K389" i="2"/>
  <c r="Q388" i="2"/>
  <c r="P388" i="2"/>
  <c r="O388" i="2"/>
  <c r="N388" i="2"/>
  <c r="M388" i="2"/>
  <c r="L388" i="2"/>
  <c r="K388" i="2"/>
  <c r="Q387" i="2"/>
  <c r="P387" i="2"/>
  <c r="O387" i="2"/>
  <c r="N387" i="2"/>
  <c r="M387" i="2"/>
  <c r="L387" i="2"/>
  <c r="K387" i="2"/>
  <c r="Q386" i="2"/>
  <c r="P386" i="2"/>
  <c r="O386" i="2"/>
  <c r="N386" i="2"/>
  <c r="M386" i="2"/>
  <c r="L386" i="2"/>
  <c r="K386" i="2"/>
  <c r="Q385" i="2"/>
  <c r="P385" i="2"/>
  <c r="O385" i="2"/>
  <c r="N385" i="2"/>
  <c r="M385" i="2"/>
  <c r="L385" i="2"/>
  <c r="K385" i="2"/>
  <c r="Q384" i="2"/>
  <c r="P384" i="2"/>
  <c r="O384" i="2"/>
  <c r="N384" i="2"/>
  <c r="M384" i="2"/>
  <c r="L384" i="2"/>
  <c r="K384" i="2"/>
  <c r="Q383" i="2"/>
  <c r="P383" i="2"/>
  <c r="O383" i="2"/>
  <c r="N383" i="2"/>
  <c r="M383" i="2"/>
  <c r="L383" i="2"/>
  <c r="K383" i="2"/>
  <c r="Q382" i="2"/>
  <c r="P382" i="2"/>
  <c r="O382" i="2"/>
  <c r="N382" i="2"/>
  <c r="M382" i="2"/>
  <c r="L382" i="2"/>
  <c r="K382" i="2"/>
  <c r="Q381" i="2"/>
  <c r="P381" i="2"/>
  <c r="O381" i="2"/>
  <c r="N381" i="2"/>
  <c r="M381" i="2"/>
  <c r="L381" i="2"/>
  <c r="K381" i="2"/>
  <c r="Q380" i="2"/>
  <c r="P380" i="2"/>
  <c r="O380" i="2"/>
  <c r="N380" i="2"/>
  <c r="M380" i="2"/>
  <c r="L380" i="2"/>
  <c r="K380" i="2"/>
  <c r="Q379" i="2"/>
  <c r="P379" i="2"/>
  <c r="O379" i="2"/>
  <c r="N379" i="2"/>
  <c r="M379" i="2"/>
  <c r="L379" i="2"/>
  <c r="K379" i="2"/>
  <c r="Q378" i="2"/>
  <c r="P378" i="2"/>
  <c r="O378" i="2"/>
  <c r="N378" i="2"/>
  <c r="M378" i="2"/>
  <c r="L378" i="2"/>
  <c r="K378" i="2"/>
  <c r="Q377" i="2"/>
  <c r="P377" i="2"/>
  <c r="O377" i="2"/>
  <c r="N377" i="2"/>
  <c r="M377" i="2"/>
  <c r="L377" i="2"/>
  <c r="K377" i="2"/>
  <c r="Q376" i="2"/>
  <c r="P376" i="2"/>
  <c r="O376" i="2"/>
  <c r="N376" i="2"/>
  <c r="M376" i="2"/>
  <c r="L376" i="2"/>
  <c r="K376" i="2"/>
  <c r="Q375" i="2"/>
  <c r="P375" i="2"/>
  <c r="O375" i="2"/>
  <c r="N375" i="2"/>
  <c r="M375" i="2"/>
  <c r="L375" i="2"/>
  <c r="K375" i="2"/>
  <c r="Q374" i="2"/>
  <c r="P374" i="2"/>
  <c r="O374" i="2"/>
  <c r="N374" i="2"/>
  <c r="M374" i="2"/>
  <c r="L374" i="2"/>
  <c r="K374" i="2"/>
  <c r="Q373" i="2"/>
  <c r="P373" i="2"/>
  <c r="O373" i="2"/>
  <c r="N373" i="2"/>
  <c r="M373" i="2"/>
  <c r="L373" i="2"/>
  <c r="K373" i="2"/>
  <c r="Q372" i="2"/>
  <c r="P372" i="2"/>
  <c r="O372" i="2"/>
  <c r="N372" i="2"/>
  <c r="M372" i="2"/>
  <c r="L372" i="2"/>
  <c r="K372" i="2"/>
  <c r="Q371" i="2"/>
  <c r="P371" i="2"/>
  <c r="O371" i="2"/>
  <c r="N371" i="2"/>
  <c r="M371" i="2"/>
  <c r="L371" i="2"/>
  <c r="K371" i="2"/>
  <c r="Q370" i="2"/>
  <c r="P370" i="2"/>
  <c r="O370" i="2"/>
  <c r="N370" i="2"/>
  <c r="M370" i="2"/>
  <c r="L370" i="2"/>
  <c r="K370" i="2"/>
  <c r="Q369" i="2"/>
  <c r="P369" i="2"/>
  <c r="O369" i="2"/>
  <c r="N369" i="2"/>
  <c r="M369" i="2"/>
  <c r="L369" i="2"/>
  <c r="K369" i="2"/>
  <c r="Q368" i="2"/>
  <c r="P368" i="2"/>
  <c r="O368" i="2"/>
  <c r="N368" i="2"/>
  <c r="M368" i="2"/>
  <c r="L368" i="2"/>
  <c r="K368" i="2"/>
  <c r="Q367" i="2"/>
  <c r="P367" i="2"/>
  <c r="O367" i="2"/>
  <c r="N367" i="2"/>
  <c r="M367" i="2"/>
  <c r="L367" i="2"/>
  <c r="K367" i="2"/>
  <c r="Q366" i="2"/>
  <c r="P366" i="2"/>
  <c r="O366" i="2"/>
  <c r="N366" i="2"/>
  <c r="M366" i="2"/>
  <c r="L366" i="2"/>
  <c r="K366" i="2"/>
  <c r="Q365" i="2"/>
  <c r="P365" i="2"/>
  <c r="O365" i="2"/>
  <c r="N365" i="2"/>
  <c r="M365" i="2"/>
  <c r="L365" i="2"/>
  <c r="K365" i="2"/>
  <c r="Q364" i="2"/>
  <c r="P364" i="2"/>
  <c r="O364" i="2"/>
  <c r="N364" i="2"/>
  <c r="M364" i="2"/>
  <c r="L364" i="2"/>
  <c r="K364" i="2"/>
  <c r="Q363" i="2"/>
  <c r="P363" i="2"/>
  <c r="O363" i="2"/>
  <c r="N363" i="2"/>
  <c r="M363" i="2"/>
  <c r="L363" i="2"/>
  <c r="K363" i="2"/>
  <c r="Q362" i="2"/>
  <c r="P362" i="2"/>
  <c r="O362" i="2"/>
  <c r="N362" i="2"/>
  <c r="M362" i="2"/>
  <c r="L362" i="2"/>
  <c r="K362" i="2"/>
  <c r="Q361" i="2"/>
  <c r="P361" i="2"/>
  <c r="O361" i="2"/>
  <c r="N361" i="2"/>
  <c r="M361" i="2"/>
  <c r="L361" i="2"/>
  <c r="K361" i="2"/>
  <c r="Q360" i="2"/>
  <c r="P360" i="2"/>
  <c r="O360" i="2"/>
  <c r="N360" i="2"/>
  <c r="M360" i="2"/>
  <c r="L360" i="2"/>
  <c r="K360" i="2"/>
  <c r="Q359" i="2"/>
  <c r="P359" i="2"/>
  <c r="O359" i="2"/>
  <c r="N359" i="2"/>
  <c r="M359" i="2"/>
  <c r="L359" i="2"/>
  <c r="K359" i="2"/>
  <c r="Q358" i="2"/>
  <c r="P358" i="2"/>
  <c r="O358" i="2"/>
  <c r="N358" i="2"/>
  <c r="M358" i="2"/>
  <c r="L358" i="2"/>
  <c r="K358" i="2"/>
  <c r="Q357" i="2"/>
  <c r="P357" i="2"/>
  <c r="O357" i="2"/>
  <c r="N357" i="2"/>
  <c r="M357" i="2"/>
  <c r="L357" i="2"/>
  <c r="K357" i="2"/>
  <c r="Q356" i="2"/>
  <c r="P356" i="2"/>
  <c r="O356" i="2"/>
  <c r="N356" i="2"/>
  <c r="M356" i="2"/>
  <c r="L356" i="2"/>
  <c r="K356" i="2"/>
  <c r="Q355" i="2"/>
  <c r="P355" i="2"/>
  <c r="O355" i="2"/>
  <c r="N355" i="2"/>
  <c r="M355" i="2"/>
  <c r="L355" i="2"/>
  <c r="K355" i="2"/>
  <c r="Q354" i="2"/>
  <c r="P354" i="2"/>
  <c r="O354" i="2"/>
  <c r="N354" i="2"/>
  <c r="M354" i="2"/>
  <c r="L354" i="2"/>
  <c r="K354" i="2"/>
  <c r="Q353" i="2"/>
  <c r="P353" i="2"/>
  <c r="O353" i="2"/>
  <c r="N353" i="2"/>
  <c r="M353" i="2"/>
  <c r="L353" i="2"/>
  <c r="K353" i="2"/>
  <c r="Q352" i="2"/>
  <c r="P352" i="2"/>
  <c r="O352" i="2"/>
  <c r="N352" i="2"/>
  <c r="M352" i="2"/>
  <c r="L352" i="2"/>
  <c r="K352" i="2"/>
  <c r="Q351" i="2"/>
  <c r="P351" i="2"/>
  <c r="O351" i="2"/>
  <c r="N351" i="2"/>
  <c r="M351" i="2"/>
  <c r="L351" i="2"/>
  <c r="K351" i="2"/>
  <c r="Q350" i="2"/>
  <c r="P350" i="2"/>
  <c r="O350" i="2"/>
  <c r="N350" i="2"/>
  <c r="M350" i="2"/>
  <c r="L350" i="2"/>
  <c r="K350" i="2"/>
  <c r="Q349" i="2"/>
  <c r="P349" i="2"/>
  <c r="O349" i="2"/>
  <c r="N349" i="2"/>
  <c r="M349" i="2"/>
  <c r="L349" i="2"/>
  <c r="K349" i="2"/>
  <c r="Q348" i="2"/>
  <c r="P348" i="2"/>
  <c r="O348" i="2"/>
  <c r="N348" i="2"/>
  <c r="M348" i="2"/>
  <c r="L348" i="2"/>
  <c r="K348" i="2"/>
  <c r="Q347" i="2"/>
  <c r="P347" i="2"/>
  <c r="O347" i="2"/>
  <c r="N347" i="2"/>
  <c r="M347" i="2"/>
  <c r="L347" i="2"/>
  <c r="K347" i="2"/>
  <c r="Q346" i="2"/>
  <c r="P346" i="2"/>
  <c r="O346" i="2"/>
  <c r="N346" i="2"/>
  <c r="M346" i="2"/>
  <c r="L346" i="2"/>
  <c r="K346" i="2"/>
  <c r="Q345" i="2"/>
  <c r="P345" i="2"/>
  <c r="O345" i="2"/>
  <c r="N345" i="2"/>
  <c r="M345" i="2"/>
  <c r="L345" i="2"/>
  <c r="K345" i="2"/>
  <c r="Q344" i="2"/>
  <c r="P344" i="2"/>
  <c r="O344" i="2"/>
  <c r="N344" i="2"/>
  <c r="M344" i="2"/>
  <c r="L344" i="2"/>
  <c r="K344" i="2"/>
  <c r="Q343" i="2"/>
  <c r="P343" i="2"/>
  <c r="O343" i="2"/>
  <c r="N343" i="2"/>
  <c r="M343" i="2"/>
  <c r="L343" i="2"/>
  <c r="K343" i="2"/>
  <c r="Q342" i="2"/>
  <c r="P342" i="2"/>
  <c r="O342" i="2"/>
  <c r="N342" i="2"/>
  <c r="M342" i="2"/>
  <c r="L342" i="2"/>
  <c r="K342" i="2"/>
  <c r="Q341" i="2"/>
  <c r="P341" i="2"/>
  <c r="O341" i="2"/>
  <c r="N341" i="2"/>
  <c r="M341" i="2"/>
  <c r="L341" i="2"/>
  <c r="K341" i="2"/>
  <c r="Q340" i="2"/>
  <c r="P340" i="2"/>
  <c r="O340" i="2"/>
  <c r="N340" i="2"/>
  <c r="M340" i="2"/>
  <c r="L340" i="2"/>
  <c r="K340" i="2"/>
  <c r="Q339" i="2"/>
  <c r="P339" i="2"/>
  <c r="O339" i="2"/>
  <c r="N339" i="2"/>
  <c r="M339" i="2"/>
  <c r="L339" i="2"/>
  <c r="K339" i="2"/>
  <c r="Q338" i="2"/>
  <c r="P338" i="2"/>
  <c r="O338" i="2"/>
  <c r="N338" i="2"/>
  <c r="M338" i="2"/>
  <c r="L338" i="2"/>
  <c r="K338" i="2"/>
  <c r="Q337" i="2"/>
  <c r="P337" i="2"/>
  <c r="O337" i="2"/>
  <c r="N337" i="2"/>
  <c r="M337" i="2"/>
  <c r="L337" i="2"/>
  <c r="K337" i="2"/>
  <c r="Q336" i="2"/>
  <c r="P336" i="2"/>
  <c r="O336" i="2"/>
  <c r="N336" i="2"/>
  <c r="M336" i="2"/>
  <c r="L336" i="2"/>
  <c r="K336" i="2"/>
  <c r="Q335" i="2"/>
  <c r="P335" i="2"/>
  <c r="O335" i="2"/>
  <c r="N335" i="2"/>
  <c r="M335" i="2"/>
  <c r="L335" i="2"/>
  <c r="K335" i="2"/>
  <c r="Q334" i="2"/>
  <c r="P334" i="2"/>
  <c r="O334" i="2"/>
  <c r="N334" i="2"/>
  <c r="M334" i="2"/>
  <c r="L334" i="2"/>
  <c r="K334" i="2"/>
  <c r="Q333" i="2"/>
  <c r="P333" i="2"/>
  <c r="O333" i="2"/>
  <c r="N333" i="2"/>
  <c r="M333" i="2"/>
  <c r="L333" i="2"/>
  <c r="K333" i="2"/>
  <c r="Q332" i="2"/>
  <c r="P332" i="2"/>
  <c r="O332" i="2"/>
  <c r="N332" i="2"/>
  <c r="M332" i="2"/>
  <c r="L332" i="2"/>
  <c r="K332" i="2"/>
  <c r="Q331" i="2"/>
  <c r="P331" i="2"/>
  <c r="O331" i="2"/>
  <c r="N331" i="2"/>
  <c r="M331" i="2"/>
  <c r="L331" i="2"/>
  <c r="K331" i="2"/>
  <c r="Q330" i="2"/>
  <c r="P330" i="2"/>
  <c r="O330" i="2"/>
  <c r="N330" i="2"/>
  <c r="M330" i="2"/>
  <c r="L330" i="2"/>
  <c r="K330" i="2"/>
  <c r="Q329" i="2"/>
  <c r="P329" i="2"/>
  <c r="O329" i="2"/>
  <c r="N329" i="2"/>
  <c r="M329" i="2"/>
  <c r="L329" i="2"/>
  <c r="K329" i="2"/>
  <c r="Q328" i="2"/>
  <c r="P328" i="2"/>
  <c r="O328" i="2"/>
  <c r="N328" i="2"/>
  <c r="M328" i="2"/>
  <c r="L328" i="2"/>
  <c r="K328" i="2"/>
  <c r="Q327" i="2"/>
  <c r="P327" i="2"/>
  <c r="O327" i="2"/>
  <c r="N327" i="2"/>
  <c r="M327" i="2"/>
  <c r="L327" i="2"/>
  <c r="K327" i="2"/>
  <c r="Q326" i="2"/>
  <c r="P326" i="2"/>
  <c r="O326" i="2"/>
  <c r="N326" i="2"/>
  <c r="M326" i="2"/>
  <c r="L326" i="2"/>
  <c r="K326" i="2"/>
  <c r="Q325" i="2"/>
  <c r="P325" i="2"/>
  <c r="O325" i="2"/>
  <c r="N325" i="2"/>
  <c r="M325" i="2"/>
  <c r="L325" i="2"/>
  <c r="K325" i="2"/>
  <c r="Q324" i="2"/>
  <c r="P324" i="2"/>
  <c r="O324" i="2"/>
  <c r="N324" i="2"/>
  <c r="M324" i="2"/>
  <c r="L324" i="2"/>
  <c r="K324" i="2"/>
  <c r="Q323" i="2"/>
  <c r="P323" i="2"/>
  <c r="O323" i="2"/>
  <c r="N323" i="2"/>
  <c r="M323" i="2"/>
  <c r="L323" i="2"/>
  <c r="K323" i="2"/>
  <c r="Q322" i="2"/>
  <c r="P322" i="2"/>
  <c r="O322" i="2"/>
  <c r="N322" i="2"/>
  <c r="M322" i="2"/>
  <c r="L322" i="2"/>
  <c r="K322" i="2"/>
  <c r="Q321" i="2"/>
  <c r="P321" i="2"/>
  <c r="O321" i="2"/>
  <c r="N321" i="2"/>
  <c r="M321" i="2"/>
  <c r="L321" i="2"/>
  <c r="K321" i="2"/>
  <c r="Q320" i="2"/>
  <c r="P320" i="2"/>
  <c r="O320" i="2"/>
  <c r="N320" i="2"/>
  <c r="M320" i="2"/>
  <c r="L320" i="2"/>
  <c r="K320" i="2"/>
  <c r="Q319" i="2"/>
  <c r="P319" i="2"/>
  <c r="O319" i="2"/>
  <c r="N319" i="2"/>
  <c r="M319" i="2"/>
  <c r="L319" i="2"/>
  <c r="K319" i="2"/>
  <c r="Q318" i="2"/>
  <c r="P318" i="2"/>
  <c r="O318" i="2"/>
  <c r="N318" i="2"/>
  <c r="M318" i="2"/>
  <c r="L318" i="2"/>
  <c r="K318" i="2"/>
  <c r="Q317" i="2"/>
  <c r="P317" i="2"/>
  <c r="O317" i="2"/>
  <c r="N317" i="2"/>
  <c r="M317" i="2"/>
  <c r="L317" i="2"/>
  <c r="K317" i="2"/>
  <c r="Q316" i="2"/>
  <c r="P316" i="2"/>
  <c r="O316" i="2"/>
  <c r="N316" i="2"/>
  <c r="M316" i="2"/>
  <c r="L316" i="2"/>
  <c r="K316" i="2"/>
  <c r="Q315" i="2"/>
  <c r="P315" i="2"/>
  <c r="O315" i="2"/>
  <c r="N315" i="2"/>
  <c r="M315" i="2"/>
  <c r="L315" i="2"/>
  <c r="K315" i="2"/>
  <c r="Q314" i="2"/>
  <c r="P314" i="2"/>
  <c r="O314" i="2"/>
  <c r="N314" i="2"/>
  <c r="M314" i="2"/>
  <c r="L314" i="2"/>
  <c r="K314" i="2"/>
  <c r="Q313" i="2"/>
  <c r="P313" i="2"/>
  <c r="O313" i="2"/>
  <c r="N313" i="2"/>
  <c r="M313" i="2"/>
  <c r="L313" i="2"/>
  <c r="K313" i="2"/>
  <c r="Q312" i="2"/>
  <c r="P312" i="2"/>
  <c r="O312" i="2"/>
  <c r="N312" i="2"/>
  <c r="M312" i="2"/>
  <c r="L312" i="2"/>
  <c r="K312" i="2"/>
  <c r="Q311" i="2"/>
  <c r="P311" i="2"/>
  <c r="O311" i="2"/>
  <c r="N311" i="2"/>
  <c r="M311" i="2"/>
  <c r="L311" i="2"/>
  <c r="K311" i="2"/>
  <c r="Q310" i="2"/>
  <c r="P310" i="2"/>
  <c r="O310" i="2"/>
  <c r="N310" i="2"/>
  <c r="M310" i="2"/>
  <c r="L310" i="2"/>
  <c r="K310" i="2"/>
  <c r="Q309" i="2"/>
  <c r="P309" i="2"/>
  <c r="O309" i="2"/>
  <c r="N309" i="2"/>
  <c r="M309" i="2"/>
  <c r="L309" i="2"/>
  <c r="K309" i="2"/>
  <c r="Q308" i="2"/>
  <c r="P308" i="2"/>
  <c r="O308" i="2"/>
  <c r="N308" i="2"/>
  <c r="M308" i="2"/>
  <c r="L308" i="2"/>
  <c r="K308" i="2"/>
  <c r="Q307" i="2"/>
  <c r="P307" i="2"/>
  <c r="O307" i="2"/>
  <c r="N307" i="2"/>
  <c r="M307" i="2"/>
  <c r="L307" i="2"/>
  <c r="K307" i="2"/>
  <c r="Q306" i="2"/>
  <c r="P306" i="2"/>
  <c r="O306" i="2"/>
  <c r="N306" i="2"/>
  <c r="M306" i="2"/>
  <c r="L306" i="2"/>
  <c r="K306" i="2"/>
  <c r="Q305" i="2"/>
  <c r="P305" i="2"/>
  <c r="O305" i="2"/>
  <c r="N305" i="2"/>
  <c r="M305" i="2"/>
  <c r="L305" i="2"/>
  <c r="K305" i="2"/>
  <c r="Q304" i="2"/>
  <c r="P304" i="2"/>
  <c r="O304" i="2"/>
  <c r="N304" i="2"/>
  <c r="M304" i="2"/>
  <c r="L304" i="2"/>
  <c r="K304" i="2"/>
  <c r="Q303" i="2"/>
  <c r="P303" i="2"/>
  <c r="O303" i="2"/>
  <c r="N303" i="2"/>
  <c r="M303" i="2"/>
  <c r="L303" i="2"/>
  <c r="K303" i="2"/>
  <c r="Q302" i="2"/>
  <c r="P302" i="2"/>
  <c r="O302" i="2"/>
  <c r="N302" i="2"/>
  <c r="M302" i="2"/>
  <c r="L302" i="2"/>
  <c r="K302" i="2"/>
  <c r="Q301" i="2"/>
  <c r="P301" i="2"/>
  <c r="O301" i="2"/>
  <c r="N301" i="2"/>
  <c r="M301" i="2"/>
  <c r="L301" i="2"/>
  <c r="K301" i="2"/>
  <c r="Q300" i="2"/>
  <c r="P300" i="2"/>
  <c r="O300" i="2"/>
  <c r="N300" i="2"/>
  <c r="M300" i="2"/>
  <c r="L300" i="2"/>
  <c r="K300" i="2"/>
  <c r="Q299" i="2"/>
  <c r="P299" i="2"/>
  <c r="O299" i="2"/>
  <c r="N299" i="2"/>
  <c r="M299" i="2"/>
  <c r="L299" i="2"/>
  <c r="K299" i="2"/>
  <c r="Q298" i="2"/>
  <c r="P298" i="2"/>
  <c r="O298" i="2"/>
  <c r="N298" i="2"/>
  <c r="M298" i="2"/>
  <c r="L298" i="2"/>
  <c r="K298" i="2"/>
  <c r="Q297" i="2"/>
  <c r="P297" i="2"/>
  <c r="O297" i="2"/>
  <c r="N297" i="2"/>
  <c r="M297" i="2"/>
  <c r="L297" i="2"/>
  <c r="K297" i="2"/>
  <c r="Q296" i="2"/>
  <c r="P296" i="2"/>
  <c r="O296" i="2"/>
  <c r="N296" i="2"/>
  <c r="M296" i="2"/>
  <c r="L296" i="2"/>
  <c r="K296" i="2"/>
  <c r="Q295" i="2"/>
  <c r="P295" i="2"/>
  <c r="O295" i="2"/>
  <c r="N295" i="2"/>
  <c r="M295" i="2"/>
  <c r="L295" i="2"/>
  <c r="K295" i="2"/>
  <c r="Q294" i="2"/>
  <c r="P294" i="2"/>
  <c r="O294" i="2"/>
  <c r="N294" i="2"/>
  <c r="M294" i="2"/>
  <c r="L294" i="2"/>
  <c r="K294" i="2"/>
  <c r="Q293" i="2"/>
  <c r="P293" i="2"/>
  <c r="O293" i="2"/>
  <c r="N293" i="2"/>
  <c r="M293" i="2"/>
  <c r="L293" i="2"/>
  <c r="K293" i="2"/>
  <c r="Q292" i="2"/>
  <c r="P292" i="2"/>
  <c r="O292" i="2"/>
  <c r="N292" i="2"/>
  <c r="M292" i="2"/>
  <c r="L292" i="2"/>
  <c r="K292" i="2"/>
  <c r="Q291" i="2"/>
  <c r="P291" i="2"/>
  <c r="O291" i="2"/>
  <c r="N291" i="2"/>
  <c r="M291" i="2"/>
  <c r="L291" i="2"/>
  <c r="K291" i="2"/>
  <c r="Q290" i="2"/>
  <c r="P290" i="2"/>
  <c r="O290" i="2"/>
  <c r="N290" i="2"/>
  <c r="M290" i="2"/>
  <c r="L290" i="2"/>
  <c r="K290" i="2"/>
  <c r="Q289" i="2"/>
  <c r="P289" i="2"/>
  <c r="O289" i="2"/>
  <c r="N289" i="2"/>
  <c r="M289" i="2"/>
  <c r="L289" i="2"/>
  <c r="K289" i="2"/>
  <c r="Q288" i="2"/>
  <c r="P288" i="2"/>
  <c r="O288" i="2"/>
  <c r="N288" i="2"/>
  <c r="M288" i="2"/>
  <c r="L288" i="2"/>
  <c r="K288" i="2"/>
  <c r="Q287" i="2"/>
  <c r="P287" i="2"/>
  <c r="O287" i="2"/>
  <c r="N287" i="2"/>
  <c r="M287" i="2"/>
  <c r="L287" i="2"/>
  <c r="K287" i="2"/>
  <c r="Q286" i="2"/>
  <c r="P286" i="2"/>
  <c r="O286" i="2"/>
  <c r="N286" i="2"/>
  <c r="M286" i="2"/>
  <c r="L286" i="2"/>
  <c r="K286" i="2"/>
  <c r="Q285" i="2"/>
  <c r="P285" i="2"/>
  <c r="O285" i="2"/>
  <c r="N285" i="2"/>
  <c r="M285" i="2"/>
  <c r="L285" i="2"/>
  <c r="K285" i="2"/>
  <c r="Q284" i="2"/>
  <c r="P284" i="2"/>
  <c r="O284" i="2"/>
  <c r="N284" i="2"/>
  <c r="M284" i="2"/>
  <c r="L284" i="2"/>
  <c r="K284" i="2"/>
  <c r="Q283" i="2"/>
  <c r="P283" i="2"/>
  <c r="O283" i="2"/>
  <c r="N283" i="2"/>
  <c r="M283" i="2"/>
  <c r="L283" i="2"/>
  <c r="K283" i="2"/>
  <c r="Q282" i="2"/>
  <c r="P282" i="2"/>
  <c r="O282" i="2"/>
  <c r="N282" i="2"/>
  <c r="M282" i="2"/>
  <c r="L282" i="2"/>
  <c r="K282" i="2"/>
  <c r="Q281" i="2"/>
  <c r="P281" i="2"/>
  <c r="O281" i="2"/>
  <c r="N281" i="2"/>
  <c r="M281" i="2"/>
  <c r="L281" i="2"/>
  <c r="K281" i="2"/>
  <c r="Q280" i="2"/>
  <c r="P280" i="2"/>
  <c r="O280" i="2"/>
  <c r="N280" i="2"/>
  <c r="M280" i="2"/>
  <c r="L280" i="2"/>
  <c r="K280" i="2"/>
  <c r="Q279" i="2"/>
  <c r="P279" i="2"/>
  <c r="O279" i="2"/>
  <c r="N279" i="2"/>
  <c r="M279" i="2"/>
  <c r="L279" i="2"/>
  <c r="K279" i="2"/>
  <c r="Q278" i="2"/>
  <c r="P278" i="2"/>
  <c r="O278" i="2"/>
  <c r="N278" i="2"/>
  <c r="M278" i="2"/>
  <c r="L278" i="2"/>
  <c r="K278" i="2"/>
  <c r="Q277" i="2"/>
  <c r="P277" i="2"/>
  <c r="O277" i="2"/>
  <c r="N277" i="2"/>
  <c r="M277" i="2"/>
  <c r="L277" i="2"/>
  <c r="K277" i="2"/>
  <c r="Q276" i="2"/>
  <c r="P276" i="2"/>
  <c r="O276" i="2"/>
  <c r="N276" i="2"/>
  <c r="M276" i="2"/>
  <c r="L276" i="2"/>
  <c r="K276" i="2"/>
  <c r="Q275" i="2"/>
  <c r="P275" i="2"/>
  <c r="O275" i="2"/>
  <c r="N275" i="2"/>
  <c r="M275" i="2"/>
  <c r="L275" i="2"/>
  <c r="K275" i="2"/>
  <c r="Q274" i="2"/>
  <c r="P274" i="2"/>
  <c r="O274" i="2"/>
  <c r="N274" i="2"/>
  <c r="M274" i="2"/>
  <c r="L274" i="2"/>
  <c r="K274" i="2"/>
  <c r="Q273" i="2"/>
  <c r="P273" i="2"/>
  <c r="O273" i="2"/>
  <c r="N273" i="2"/>
  <c r="M273" i="2"/>
  <c r="L273" i="2"/>
  <c r="K273" i="2"/>
  <c r="Q272" i="2"/>
  <c r="P272" i="2"/>
  <c r="O272" i="2"/>
  <c r="N272" i="2"/>
  <c r="M272" i="2"/>
  <c r="L272" i="2"/>
  <c r="K272" i="2"/>
  <c r="Q271" i="2"/>
  <c r="P271" i="2"/>
  <c r="O271" i="2"/>
  <c r="N271" i="2"/>
  <c r="M271" i="2"/>
  <c r="L271" i="2"/>
  <c r="K271" i="2"/>
  <c r="Q270" i="2"/>
  <c r="P270" i="2"/>
  <c r="O270" i="2"/>
  <c r="N270" i="2"/>
  <c r="M270" i="2"/>
  <c r="L270" i="2"/>
  <c r="K270" i="2"/>
  <c r="Q269" i="2"/>
  <c r="P269" i="2"/>
  <c r="O269" i="2"/>
  <c r="N269" i="2"/>
  <c r="M269" i="2"/>
  <c r="L269" i="2"/>
  <c r="K269" i="2"/>
  <c r="Q268" i="2"/>
  <c r="P268" i="2"/>
  <c r="O268" i="2"/>
  <c r="N268" i="2"/>
  <c r="M268" i="2"/>
  <c r="L268" i="2"/>
  <c r="K268" i="2"/>
  <c r="Q267" i="2"/>
  <c r="P267" i="2"/>
  <c r="O267" i="2"/>
  <c r="N267" i="2"/>
  <c r="M267" i="2"/>
  <c r="L267" i="2"/>
  <c r="K267" i="2"/>
  <c r="Q266" i="2"/>
  <c r="P266" i="2"/>
  <c r="O266" i="2"/>
  <c r="N266" i="2"/>
  <c r="M266" i="2"/>
  <c r="L266" i="2"/>
  <c r="K266" i="2"/>
  <c r="Q265" i="2"/>
  <c r="P265" i="2"/>
  <c r="O265" i="2"/>
  <c r="N265" i="2"/>
  <c r="M265" i="2"/>
  <c r="L265" i="2"/>
  <c r="K265" i="2"/>
  <c r="Q264" i="2"/>
  <c r="P264" i="2"/>
  <c r="O264" i="2"/>
  <c r="N264" i="2"/>
  <c r="M264" i="2"/>
  <c r="L264" i="2"/>
  <c r="K264" i="2"/>
  <c r="Q263" i="2"/>
  <c r="P263" i="2"/>
  <c r="O263" i="2"/>
  <c r="N263" i="2"/>
  <c r="M263" i="2"/>
  <c r="L263" i="2"/>
  <c r="K263" i="2"/>
  <c r="Q262" i="2"/>
  <c r="P262" i="2"/>
  <c r="O262" i="2"/>
  <c r="N262" i="2"/>
  <c r="M262" i="2"/>
  <c r="L262" i="2"/>
  <c r="K262" i="2"/>
  <c r="Q261" i="2"/>
  <c r="P261" i="2"/>
  <c r="O261" i="2"/>
  <c r="N261" i="2"/>
  <c r="M261" i="2"/>
  <c r="L261" i="2"/>
  <c r="K261" i="2"/>
  <c r="Q260" i="2"/>
  <c r="P260" i="2"/>
  <c r="O260" i="2"/>
  <c r="N260" i="2"/>
  <c r="M260" i="2"/>
  <c r="L260" i="2"/>
  <c r="K260" i="2"/>
  <c r="Q259" i="2"/>
  <c r="P259" i="2"/>
  <c r="O259" i="2"/>
  <c r="N259" i="2"/>
  <c r="M259" i="2"/>
  <c r="L259" i="2"/>
  <c r="K259" i="2"/>
  <c r="Q258" i="2"/>
  <c r="P258" i="2"/>
  <c r="O258" i="2"/>
  <c r="N258" i="2"/>
  <c r="M258" i="2"/>
  <c r="L258" i="2"/>
  <c r="K258" i="2"/>
  <c r="Q257" i="2"/>
  <c r="P257" i="2"/>
  <c r="O257" i="2"/>
  <c r="N257" i="2"/>
  <c r="M257" i="2"/>
  <c r="L257" i="2"/>
  <c r="K257" i="2"/>
  <c r="Q256" i="2"/>
  <c r="P256" i="2"/>
  <c r="O256" i="2"/>
  <c r="N256" i="2"/>
  <c r="M256" i="2"/>
  <c r="L256" i="2"/>
  <c r="K256" i="2"/>
  <c r="Q255" i="2"/>
  <c r="P255" i="2"/>
  <c r="O255" i="2"/>
  <c r="N255" i="2"/>
  <c r="M255" i="2"/>
  <c r="L255" i="2"/>
  <c r="K255" i="2"/>
  <c r="Q254" i="2"/>
  <c r="P254" i="2"/>
  <c r="O254" i="2"/>
  <c r="N254" i="2"/>
  <c r="M254" i="2"/>
  <c r="L254" i="2"/>
  <c r="K254" i="2"/>
  <c r="Q253" i="2"/>
  <c r="P253" i="2"/>
  <c r="O253" i="2"/>
  <c r="N253" i="2"/>
  <c r="M253" i="2"/>
  <c r="L253" i="2"/>
  <c r="K253" i="2"/>
  <c r="Q252" i="2"/>
  <c r="P252" i="2"/>
  <c r="O252" i="2"/>
  <c r="N252" i="2"/>
  <c r="M252" i="2"/>
  <c r="L252" i="2"/>
  <c r="K252" i="2"/>
  <c r="Q251" i="2"/>
  <c r="P251" i="2"/>
  <c r="O251" i="2"/>
  <c r="N251" i="2"/>
  <c r="M251" i="2"/>
  <c r="L251" i="2"/>
  <c r="K251" i="2"/>
  <c r="Q250" i="2"/>
  <c r="P250" i="2"/>
  <c r="O250" i="2"/>
  <c r="N250" i="2"/>
  <c r="M250" i="2"/>
  <c r="L250" i="2"/>
  <c r="K250" i="2"/>
  <c r="Q249" i="2"/>
  <c r="P249" i="2"/>
  <c r="O249" i="2"/>
  <c r="N249" i="2"/>
  <c r="M249" i="2"/>
  <c r="L249" i="2"/>
  <c r="K249" i="2"/>
  <c r="Q248" i="2"/>
  <c r="P248" i="2"/>
  <c r="O248" i="2"/>
  <c r="N248" i="2"/>
  <c r="M248" i="2"/>
  <c r="L248" i="2"/>
  <c r="K248" i="2"/>
  <c r="Q247" i="2"/>
  <c r="P247" i="2"/>
  <c r="O247" i="2"/>
  <c r="N247" i="2"/>
  <c r="M247" i="2"/>
  <c r="L247" i="2"/>
  <c r="K247" i="2"/>
  <c r="Q246" i="2"/>
  <c r="P246" i="2"/>
  <c r="O246" i="2"/>
  <c r="N246" i="2"/>
  <c r="M246" i="2"/>
  <c r="L246" i="2"/>
  <c r="K246" i="2"/>
  <c r="Q245" i="2"/>
  <c r="P245" i="2"/>
  <c r="O245" i="2"/>
  <c r="N245" i="2"/>
  <c r="M245" i="2"/>
  <c r="L245" i="2"/>
  <c r="K245" i="2"/>
  <c r="Q244" i="2"/>
  <c r="P244" i="2"/>
  <c r="O244" i="2"/>
  <c r="N244" i="2"/>
  <c r="M244" i="2"/>
  <c r="L244" i="2"/>
  <c r="K244" i="2"/>
  <c r="Q243" i="2"/>
  <c r="P243" i="2"/>
  <c r="O243" i="2"/>
  <c r="N243" i="2"/>
  <c r="M243" i="2"/>
  <c r="L243" i="2"/>
  <c r="K243" i="2"/>
  <c r="Q242" i="2"/>
  <c r="P242" i="2"/>
  <c r="O242" i="2"/>
  <c r="N242" i="2"/>
  <c r="M242" i="2"/>
  <c r="L242" i="2"/>
  <c r="K242" i="2"/>
  <c r="Q241" i="2"/>
  <c r="P241" i="2"/>
  <c r="O241" i="2"/>
  <c r="N241" i="2"/>
  <c r="M241" i="2"/>
  <c r="L241" i="2"/>
  <c r="K241" i="2"/>
  <c r="Q240" i="2"/>
  <c r="P240" i="2"/>
  <c r="O240" i="2"/>
  <c r="N240" i="2"/>
  <c r="M240" i="2"/>
  <c r="L240" i="2"/>
  <c r="K240" i="2"/>
  <c r="Q239" i="2"/>
  <c r="P239" i="2"/>
  <c r="O239" i="2"/>
  <c r="N239" i="2"/>
  <c r="M239" i="2"/>
  <c r="L239" i="2"/>
  <c r="K239" i="2"/>
  <c r="Q238" i="2"/>
  <c r="P238" i="2"/>
  <c r="O238" i="2"/>
  <c r="N238" i="2"/>
  <c r="M238" i="2"/>
  <c r="L238" i="2"/>
  <c r="K238" i="2"/>
  <c r="Q237" i="2"/>
  <c r="P237" i="2"/>
  <c r="O237" i="2"/>
  <c r="N237" i="2"/>
  <c r="M237" i="2"/>
  <c r="L237" i="2"/>
  <c r="K237" i="2"/>
  <c r="Q236" i="2"/>
  <c r="P236" i="2"/>
  <c r="O236" i="2"/>
  <c r="N236" i="2"/>
  <c r="M236" i="2"/>
  <c r="L236" i="2"/>
  <c r="K236" i="2"/>
  <c r="Q235" i="2"/>
  <c r="P235" i="2"/>
  <c r="O235" i="2"/>
  <c r="N235" i="2"/>
  <c r="M235" i="2"/>
  <c r="L235" i="2"/>
  <c r="K235" i="2"/>
  <c r="Q234" i="2"/>
  <c r="P234" i="2"/>
  <c r="O234" i="2"/>
  <c r="N234" i="2"/>
  <c r="M234" i="2"/>
  <c r="L234" i="2"/>
  <c r="K234" i="2"/>
  <c r="Q233" i="2"/>
  <c r="P233" i="2"/>
  <c r="O233" i="2"/>
  <c r="N233" i="2"/>
  <c r="M233" i="2"/>
  <c r="L233" i="2"/>
  <c r="K233" i="2"/>
  <c r="Q232" i="2"/>
  <c r="P232" i="2"/>
  <c r="O232" i="2"/>
  <c r="N232" i="2"/>
  <c r="M232" i="2"/>
  <c r="L232" i="2"/>
  <c r="K232" i="2"/>
  <c r="Q231" i="2"/>
  <c r="P231" i="2"/>
  <c r="O231" i="2"/>
  <c r="N231" i="2"/>
  <c r="M231" i="2"/>
  <c r="L231" i="2"/>
  <c r="K231" i="2"/>
  <c r="Q230" i="2"/>
  <c r="P230" i="2"/>
  <c r="O230" i="2"/>
  <c r="N230" i="2"/>
  <c r="M230" i="2"/>
  <c r="L230" i="2"/>
  <c r="K230" i="2"/>
  <c r="Q229" i="2"/>
  <c r="P229" i="2"/>
  <c r="O229" i="2"/>
  <c r="N229" i="2"/>
  <c r="M229" i="2"/>
  <c r="L229" i="2"/>
  <c r="K229" i="2"/>
  <c r="Q228" i="2"/>
  <c r="P228" i="2"/>
  <c r="O228" i="2"/>
  <c r="N228" i="2"/>
  <c r="M228" i="2"/>
  <c r="L228" i="2"/>
  <c r="K228" i="2"/>
  <c r="Q227" i="2"/>
  <c r="P227" i="2"/>
  <c r="O227" i="2"/>
  <c r="N227" i="2"/>
  <c r="M227" i="2"/>
  <c r="L227" i="2"/>
  <c r="K227" i="2"/>
  <c r="Q226" i="2"/>
  <c r="P226" i="2"/>
  <c r="O226" i="2"/>
  <c r="N226" i="2"/>
  <c r="M226" i="2"/>
  <c r="L226" i="2"/>
  <c r="K226" i="2"/>
  <c r="Q225" i="2"/>
  <c r="P225" i="2"/>
  <c r="O225" i="2"/>
  <c r="N225" i="2"/>
  <c r="M225" i="2"/>
  <c r="L225" i="2"/>
  <c r="K225" i="2"/>
  <c r="Q224" i="2"/>
  <c r="P224" i="2"/>
  <c r="O224" i="2"/>
  <c r="N224" i="2"/>
  <c r="M224" i="2"/>
  <c r="L224" i="2"/>
  <c r="K224" i="2"/>
  <c r="Q223" i="2"/>
  <c r="P223" i="2"/>
  <c r="O223" i="2"/>
  <c r="N223" i="2"/>
  <c r="M223" i="2"/>
  <c r="L223" i="2"/>
  <c r="K223" i="2"/>
  <c r="Q222" i="2"/>
  <c r="P222" i="2"/>
  <c r="O222" i="2"/>
  <c r="N222" i="2"/>
  <c r="M222" i="2"/>
  <c r="L222" i="2"/>
  <c r="K222" i="2"/>
  <c r="Q221" i="2"/>
  <c r="P221" i="2"/>
  <c r="O221" i="2"/>
  <c r="N221" i="2"/>
  <c r="M221" i="2"/>
  <c r="L221" i="2"/>
  <c r="K221" i="2"/>
  <c r="Q220" i="2"/>
  <c r="P220" i="2"/>
  <c r="O220" i="2"/>
  <c r="N220" i="2"/>
  <c r="M220" i="2"/>
  <c r="L220" i="2"/>
  <c r="K220" i="2"/>
  <c r="Q219" i="2"/>
  <c r="P219" i="2"/>
  <c r="O219" i="2"/>
  <c r="N219" i="2"/>
  <c r="M219" i="2"/>
  <c r="L219" i="2"/>
  <c r="K219" i="2"/>
  <c r="Q218" i="2"/>
  <c r="P218" i="2"/>
  <c r="O218" i="2"/>
  <c r="N218" i="2"/>
  <c r="M218" i="2"/>
  <c r="L218" i="2"/>
  <c r="K218" i="2"/>
  <c r="Q217" i="2"/>
  <c r="P217" i="2"/>
  <c r="O217" i="2"/>
  <c r="N217" i="2"/>
  <c r="M217" i="2"/>
  <c r="L217" i="2"/>
  <c r="K217" i="2"/>
  <c r="Q216" i="2"/>
  <c r="P216" i="2"/>
  <c r="O216" i="2"/>
  <c r="N216" i="2"/>
  <c r="M216" i="2"/>
  <c r="L216" i="2"/>
  <c r="K216" i="2"/>
  <c r="Q215" i="2"/>
  <c r="P215" i="2"/>
  <c r="O215" i="2"/>
  <c r="N215" i="2"/>
  <c r="M215" i="2"/>
  <c r="L215" i="2"/>
  <c r="K215" i="2"/>
  <c r="Q214" i="2"/>
  <c r="P214" i="2"/>
  <c r="O214" i="2"/>
  <c r="N214" i="2"/>
  <c r="M214" i="2"/>
  <c r="L214" i="2"/>
  <c r="K214" i="2"/>
  <c r="Q213" i="2"/>
  <c r="P213" i="2"/>
  <c r="O213" i="2"/>
  <c r="N213" i="2"/>
  <c r="M213" i="2"/>
  <c r="L213" i="2"/>
  <c r="K213" i="2"/>
  <c r="Q212" i="2"/>
  <c r="P212" i="2"/>
  <c r="O212" i="2"/>
  <c r="N212" i="2"/>
  <c r="M212" i="2"/>
  <c r="L212" i="2"/>
  <c r="K212" i="2"/>
  <c r="Q211" i="2"/>
  <c r="P211" i="2"/>
  <c r="O211" i="2"/>
  <c r="N211" i="2"/>
  <c r="M211" i="2"/>
  <c r="L211" i="2"/>
  <c r="K211" i="2"/>
  <c r="Q210" i="2"/>
  <c r="P210" i="2"/>
  <c r="O210" i="2"/>
  <c r="N210" i="2"/>
  <c r="M210" i="2"/>
  <c r="L210" i="2"/>
  <c r="K210" i="2"/>
  <c r="Q209" i="2"/>
  <c r="P209" i="2"/>
  <c r="O209" i="2"/>
  <c r="N209" i="2"/>
  <c r="M209" i="2"/>
  <c r="L209" i="2"/>
  <c r="K209" i="2"/>
  <c r="Q208" i="2"/>
  <c r="P208" i="2"/>
  <c r="O208" i="2"/>
  <c r="N208" i="2"/>
  <c r="M208" i="2"/>
  <c r="L208" i="2"/>
  <c r="K208" i="2"/>
  <c r="Q207" i="2"/>
  <c r="P207" i="2"/>
  <c r="O207" i="2"/>
  <c r="N207" i="2"/>
  <c r="M207" i="2"/>
  <c r="L207" i="2"/>
  <c r="K207" i="2"/>
  <c r="Q206" i="2"/>
  <c r="P206" i="2"/>
  <c r="O206" i="2"/>
  <c r="N206" i="2"/>
  <c r="M206" i="2"/>
  <c r="L206" i="2"/>
  <c r="K206" i="2"/>
  <c r="Q205" i="2"/>
  <c r="P205" i="2"/>
  <c r="O205" i="2"/>
  <c r="N205" i="2"/>
  <c r="M205" i="2"/>
  <c r="L205" i="2"/>
  <c r="K205" i="2"/>
  <c r="Q204" i="2"/>
  <c r="P204" i="2"/>
  <c r="O204" i="2"/>
  <c r="N204" i="2"/>
  <c r="M204" i="2"/>
  <c r="L204" i="2"/>
  <c r="K204" i="2"/>
  <c r="Q203" i="2"/>
  <c r="P203" i="2"/>
  <c r="O203" i="2"/>
  <c r="N203" i="2"/>
  <c r="M203" i="2"/>
  <c r="L203" i="2"/>
  <c r="K203" i="2"/>
  <c r="Q202" i="2"/>
  <c r="P202" i="2"/>
  <c r="O202" i="2"/>
  <c r="N202" i="2"/>
  <c r="M202" i="2"/>
  <c r="L202" i="2"/>
  <c r="K202" i="2"/>
  <c r="Q201" i="2"/>
  <c r="P201" i="2"/>
  <c r="O201" i="2"/>
  <c r="N201" i="2"/>
  <c r="M201" i="2"/>
  <c r="L201" i="2"/>
  <c r="K201" i="2"/>
  <c r="Q200" i="2"/>
  <c r="P200" i="2"/>
  <c r="O200" i="2"/>
  <c r="N200" i="2"/>
  <c r="M200" i="2"/>
  <c r="L200" i="2"/>
  <c r="K200" i="2"/>
  <c r="Q199" i="2"/>
  <c r="P199" i="2"/>
  <c r="O199" i="2"/>
  <c r="N199" i="2"/>
  <c r="M199" i="2"/>
  <c r="L199" i="2"/>
  <c r="K199" i="2"/>
  <c r="Q198" i="2"/>
  <c r="P198" i="2"/>
  <c r="O198" i="2"/>
  <c r="N198" i="2"/>
  <c r="M198" i="2"/>
  <c r="L198" i="2"/>
  <c r="K198" i="2"/>
  <c r="Q197" i="2"/>
  <c r="P197" i="2"/>
  <c r="O197" i="2"/>
  <c r="N197" i="2"/>
  <c r="M197" i="2"/>
  <c r="L197" i="2"/>
  <c r="K197" i="2"/>
  <c r="Q196" i="2"/>
  <c r="P196" i="2"/>
  <c r="O196" i="2"/>
  <c r="N196" i="2"/>
  <c r="M196" i="2"/>
  <c r="L196" i="2"/>
  <c r="K196" i="2"/>
  <c r="Q195" i="2"/>
  <c r="P195" i="2"/>
  <c r="O195" i="2"/>
  <c r="N195" i="2"/>
  <c r="M195" i="2"/>
  <c r="L195" i="2"/>
  <c r="K195" i="2"/>
  <c r="Q194" i="2"/>
  <c r="P194" i="2"/>
  <c r="O194" i="2"/>
  <c r="N194" i="2"/>
  <c r="M194" i="2"/>
  <c r="L194" i="2"/>
  <c r="K194" i="2"/>
  <c r="Q193" i="2"/>
  <c r="P193" i="2"/>
  <c r="O193" i="2"/>
  <c r="N193" i="2"/>
  <c r="M193" i="2"/>
  <c r="L193" i="2"/>
  <c r="K193" i="2"/>
  <c r="Q192" i="2"/>
  <c r="P192" i="2"/>
  <c r="O192" i="2"/>
  <c r="N192" i="2"/>
  <c r="M192" i="2"/>
  <c r="L192" i="2"/>
  <c r="K192" i="2"/>
  <c r="Q191" i="2"/>
  <c r="P191" i="2"/>
  <c r="O191" i="2"/>
  <c r="N191" i="2"/>
  <c r="M191" i="2"/>
  <c r="L191" i="2"/>
  <c r="K191" i="2"/>
  <c r="Q190" i="2"/>
  <c r="P190" i="2"/>
  <c r="O190" i="2"/>
  <c r="N190" i="2"/>
  <c r="M190" i="2"/>
  <c r="L190" i="2"/>
  <c r="K190" i="2"/>
  <c r="Q189" i="2"/>
  <c r="P189" i="2"/>
  <c r="O189" i="2"/>
  <c r="N189" i="2"/>
  <c r="M189" i="2"/>
  <c r="L189" i="2"/>
  <c r="K189" i="2"/>
  <c r="Q188" i="2"/>
  <c r="P188" i="2"/>
  <c r="O188" i="2"/>
  <c r="N188" i="2"/>
  <c r="M188" i="2"/>
  <c r="L188" i="2"/>
  <c r="K188" i="2"/>
  <c r="Q187" i="2"/>
  <c r="P187" i="2"/>
  <c r="O187" i="2"/>
  <c r="N187" i="2"/>
  <c r="M187" i="2"/>
  <c r="L187" i="2"/>
  <c r="K187" i="2"/>
  <c r="Q186" i="2"/>
  <c r="P186" i="2"/>
  <c r="O186" i="2"/>
  <c r="N186" i="2"/>
  <c r="M186" i="2"/>
  <c r="L186" i="2"/>
  <c r="K186" i="2"/>
  <c r="Q185" i="2"/>
  <c r="P185" i="2"/>
  <c r="O185" i="2"/>
  <c r="N185" i="2"/>
  <c r="M185" i="2"/>
  <c r="L185" i="2"/>
  <c r="K185" i="2"/>
  <c r="Q184" i="2"/>
  <c r="P184" i="2"/>
  <c r="O184" i="2"/>
  <c r="N184" i="2"/>
  <c r="M184" i="2"/>
  <c r="L184" i="2"/>
  <c r="K184" i="2"/>
  <c r="Q183" i="2"/>
  <c r="P183" i="2"/>
  <c r="O183" i="2"/>
  <c r="N183" i="2"/>
  <c r="M183" i="2"/>
  <c r="L183" i="2"/>
  <c r="K183" i="2"/>
  <c r="Q182" i="2"/>
  <c r="P182" i="2"/>
  <c r="O182" i="2"/>
  <c r="N182" i="2"/>
  <c r="M182" i="2"/>
  <c r="L182" i="2"/>
  <c r="K182" i="2"/>
  <c r="Q181" i="2"/>
  <c r="P181" i="2"/>
  <c r="O181" i="2"/>
  <c r="N181" i="2"/>
  <c r="M181" i="2"/>
  <c r="L181" i="2"/>
  <c r="K181" i="2"/>
  <c r="Q180" i="2"/>
  <c r="P180" i="2"/>
  <c r="O180" i="2"/>
  <c r="N180" i="2"/>
  <c r="M180" i="2"/>
  <c r="L180" i="2"/>
  <c r="K180" i="2"/>
  <c r="Q179" i="2"/>
  <c r="P179" i="2"/>
  <c r="O179" i="2"/>
  <c r="N179" i="2"/>
  <c r="M179" i="2"/>
  <c r="L179" i="2"/>
  <c r="K179" i="2"/>
  <c r="Q178" i="2"/>
  <c r="P178" i="2"/>
  <c r="O178" i="2"/>
  <c r="N178" i="2"/>
  <c r="M178" i="2"/>
  <c r="L178" i="2"/>
  <c r="K178" i="2"/>
  <c r="Q177" i="2"/>
  <c r="P177" i="2"/>
  <c r="O177" i="2"/>
  <c r="N177" i="2"/>
  <c r="M177" i="2"/>
  <c r="L177" i="2"/>
  <c r="K177" i="2"/>
  <c r="Q176" i="2"/>
  <c r="P176" i="2"/>
  <c r="O176" i="2"/>
  <c r="N176" i="2"/>
  <c r="M176" i="2"/>
  <c r="L176" i="2"/>
  <c r="K176" i="2"/>
  <c r="Q175" i="2"/>
  <c r="P175" i="2"/>
  <c r="O175" i="2"/>
  <c r="N175" i="2"/>
  <c r="M175" i="2"/>
  <c r="L175" i="2"/>
  <c r="K175" i="2"/>
  <c r="Q174" i="2"/>
  <c r="P174" i="2"/>
  <c r="O174" i="2"/>
  <c r="N174" i="2"/>
  <c r="M174" i="2"/>
  <c r="L174" i="2"/>
  <c r="K174" i="2"/>
  <c r="Q173" i="2"/>
  <c r="P173" i="2"/>
  <c r="O173" i="2"/>
  <c r="N173" i="2"/>
  <c r="M173" i="2"/>
  <c r="L173" i="2"/>
  <c r="K173" i="2"/>
  <c r="Q172" i="2"/>
  <c r="P172" i="2"/>
  <c r="O172" i="2"/>
  <c r="N172" i="2"/>
  <c r="M172" i="2"/>
  <c r="L172" i="2"/>
  <c r="K172" i="2"/>
  <c r="Q171" i="2"/>
  <c r="P171" i="2"/>
  <c r="O171" i="2"/>
  <c r="N171" i="2"/>
  <c r="M171" i="2"/>
  <c r="L171" i="2"/>
  <c r="K171" i="2"/>
  <c r="Q170" i="2"/>
  <c r="P170" i="2"/>
  <c r="O170" i="2"/>
  <c r="N170" i="2"/>
  <c r="M170" i="2"/>
  <c r="L170" i="2"/>
  <c r="K170" i="2"/>
  <c r="Q169" i="2"/>
  <c r="P169" i="2"/>
  <c r="O169" i="2"/>
  <c r="N169" i="2"/>
  <c r="M169" i="2"/>
  <c r="L169" i="2"/>
  <c r="K169" i="2"/>
  <c r="Q168" i="2"/>
  <c r="P168" i="2"/>
  <c r="O168" i="2"/>
  <c r="N168" i="2"/>
  <c r="M168" i="2"/>
  <c r="L168" i="2"/>
  <c r="K168" i="2"/>
  <c r="Q167" i="2"/>
  <c r="P167" i="2"/>
  <c r="O167" i="2"/>
  <c r="N167" i="2"/>
  <c r="M167" i="2"/>
  <c r="L167" i="2"/>
  <c r="K167" i="2"/>
  <c r="Q166" i="2"/>
  <c r="P166" i="2"/>
  <c r="O166" i="2"/>
  <c r="N166" i="2"/>
  <c r="M166" i="2"/>
  <c r="L166" i="2"/>
  <c r="K166" i="2"/>
  <c r="Q165" i="2"/>
  <c r="P165" i="2"/>
  <c r="O165" i="2"/>
  <c r="N165" i="2"/>
  <c r="M165" i="2"/>
  <c r="L165" i="2"/>
  <c r="K165" i="2"/>
  <c r="Q164" i="2"/>
  <c r="P164" i="2"/>
  <c r="O164" i="2"/>
  <c r="N164" i="2"/>
  <c r="M164" i="2"/>
  <c r="L164" i="2"/>
  <c r="K164" i="2"/>
  <c r="Q163" i="2"/>
  <c r="P163" i="2"/>
  <c r="O163" i="2"/>
  <c r="N163" i="2"/>
  <c r="M163" i="2"/>
  <c r="L163" i="2"/>
  <c r="K163" i="2"/>
  <c r="Q162" i="2"/>
  <c r="P162" i="2"/>
  <c r="O162" i="2"/>
  <c r="N162" i="2"/>
  <c r="M162" i="2"/>
  <c r="L162" i="2"/>
  <c r="K162" i="2"/>
  <c r="Q161" i="2"/>
  <c r="P161" i="2"/>
  <c r="O161" i="2"/>
  <c r="N161" i="2"/>
  <c r="M161" i="2"/>
  <c r="L161" i="2"/>
  <c r="K161" i="2"/>
  <c r="Q160" i="2"/>
  <c r="P160" i="2"/>
  <c r="O160" i="2"/>
  <c r="N160" i="2"/>
  <c r="M160" i="2"/>
  <c r="L160" i="2"/>
  <c r="K160" i="2"/>
  <c r="Q159" i="2"/>
  <c r="P159" i="2"/>
  <c r="O159" i="2"/>
  <c r="N159" i="2"/>
  <c r="M159" i="2"/>
  <c r="L159" i="2"/>
  <c r="K159" i="2"/>
  <c r="Q158" i="2"/>
  <c r="P158" i="2"/>
  <c r="O158" i="2"/>
  <c r="N158" i="2"/>
  <c r="M158" i="2"/>
  <c r="L158" i="2"/>
  <c r="K158" i="2"/>
  <c r="Q157" i="2"/>
  <c r="P157" i="2"/>
  <c r="O157" i="2"/>
  <c r="N157" i="2"/>
  <c r="M157" i="2"/>
  <c r="L157" i="2"/>
  <c r="K157" i="2"/>
  <c r="Q156" i="2"/>
  <c r="P156" i="2"/>
  <c r="O156" i="2"/>
  <c r="N156" i="2"/>
  <c r="M156" i="2"/>
  <c r="L156" i="2"/>
  <c r="K156" i="2"/>
  <c r="Q155" i="2"/>
  <c r="P155" i="2"/>
  <c r="O155" i="2"/>
  <c r="N155" i="2"/>
  <c r="M155" i="2"/>
  <c r="L155" i="2"/>
  <c r="K155" i="2"/>
  <c r="Q154" i="2"/>
  <c r="P154" i="2"/>
  <c r="O154" i="2"/>
  <c r="N154" i="2"/>
  <c r="M154" i="2"/>
  <c r="L154" i="2"/>
  <c r="K154" i="2"/>
  <c r="Q153" i="2"/>
  <c r="P153" i="2"/>
  <c r="O153" i="2"/>
  <c r="N153" i="2"/>
  <c r="M153" i="2"/>
  <c r="L153" i="2"/>
  <c r="K153" i="2"/>
  <c r="Q152" i="2"/>
  <c r="P152" i="2"/>
  <c r="O152" i="2"/>
  <c r="N152" i="2"/>
  <c r="M152" i="2"/>
  <c r="L152" i="2"/>
  <c r="K152" i="2"/>
  <c r="Q151" i="2"/>
  <c r="P151" i="2"/>
  <c r="O151" i="2"/>
  <c r="N151" i="2"/>
  <c r="M151" i="2"/>
  <c r="L151" i="2"/>
  <c r="K151" i="2"/>
  <c r="Q150" i="2"/>
  <c r="P150" i="2"/>
  <c r="O150" i="2"/>
  <c r="N150" i="2"/>
  <c r="M150" i="2"/>
  <c r="L150" i="2"/>
  <c r="K150" i="2"/>
  <c r="Q149" i="2"/>
  <c r="P149" i="2"/>
  <c r="O149" i="2"/>
  <c r="N149" i="2"/>
  <c r="M149" i="2"/>
  <c r="L149" i="2"/>
  <c r="K149" i="2"/>
  <c r="Q148" i="2"/>
  <c r="P148" i="2"/>
  <c r="O148" i="2"/>
  <c r="N148" i="2"/>
  <c r="M148" i="2"/>
  <c r="L148" i="2"/>
  <c r="K148" i="2"/>
  <c r="Q147" i="2"/>
  <c r="P147" i="2"/>
  <c r="O147" i="2"/>
  <c r="N147" i="2"/>
  <c r="M147" i="2"/>
  <c r="L147" i="2"/>
  <c r="K147" i="2"/>
  <c r="Q146" i="2"/>
  <c r="P146" i="2"/>
  <c r="O146" i="2"/>
  <c r="N146" i="2"/>
  <c r="M146" i="2"/>
  <c r="L146" i="2"/>
  <c r="K146" i="2"/>
  <c r="Q145" i="2"/>
  <c r="P145" i="2"/>
  <c r="O145" i="2"/>
  <c r="N145" i="2"/>
  <c r="M145" i="2"/>
  <c r="L145" i="2"/>
  <c r="K145" i="2"/>
  <c r="Q144" i="2"/>
  <c r="P144" i="2"/>
  <c r="O144" i="2"/>
  <c r="N144" i="2"/>
  <c r="M144" i="2"/>
  <c r="L144" i="2"/>
  <c r="K144" i="2"/>
  <c r="Q143" i="2"/>
  <c r="P143" i="2"/>
  <c r="O143" i="2"/>
  <c r="N143" i="2"/>
  <c r="M143" i="2"/>
  <c r="L143" i="2"/>
  <c r="K143" i="2"/>
  <c r="Q142" i="2"/>
  <c r="P142" i="2"/>
  <c r="O142" i="2"/>
  <c r="N142" i="2"/>
  <c r="M142" i="2"/>
  <c r="L142" i="2"/>
  <c r="K142" i="2"/>
  <c r="Q141" i="2"/>
  <c r="P141" i="2"/>
  <c r="O141" i="2"/>
  <c r="N141" i="2"/>
  <c r="M141" i="2"/>
  <c r="L141" i="2"/>
  <c r="K141" i="2"/>
  <c r="Q140" i="2"/>
  <c r="P140" i="2"/>
  <c r="O140" i="2"/>
  <c r="N140" i="2"/>
  <c r="M140" i="2"/>
  <c r="L140" i="2"/>
  <c r="K140" i="2"/>
  <c r="Q139" i="2"/>
  <c r="P139" i="2"/>
  <c r="O139" i="2"/>
  <c r="N139" i="2"/>
  <c r="M139" i="2"/>
  <c r="L139" i="2"/>
  <c r="K139" i="2"/>
  <c r="Q138" i="2"/>
  <c r="P138" i="2"/>
  <c r="O138" i="2"/>
  <c r="N138" i="2"/>
  <c r="M138" i="2"/>
  <c r="L138" i="2"/>
  <c r="K138" i="2"/>
  <c r="Q137" i="2"/>
  <c r="P137" i="2"/>
  <c r="O137" i="2"/>
  <c r="N137" i="2"/>
  <c r="M137" i="2"/>
  <c r="L137" i="2"/>
  <c r="K137" i="2"/>
  <c r="Q136" i="2"/>
  <c r="P136" i="2"/>
  <c r="O136" i="2"/>
  <c r="N136" i="2"/>
  <c r="M136" i="2"/>
  <c r="L136" i="2"/>
  <c r="K136" i="2"/>
  <c r="Q135" i="2"/>
  <c r="P135" i="2"/>
  <c r="O135" i="2"/>
  <c r="N135" i="2"/>
  <c r="M135" i="2"/>
  <c r="L135" i="2"/>
  <c r="K135" i="2"/>
  <c r="Q134" i="2"/>
  <c r="P134" i="2"/>
  <c r="O134" i="2"/>
  <c r="N134" i="2"/>
  <c r="M134" i="2"/>
  <c r="L134" i="2"/>
  <c r="K134" i="2"/>
  <c r="Q133" i="2"/>
  <c r="P133" i="2"/>
  <c r="O133" i="2"/>
  <c r="N133" i="2"/>
  <c r="M133" i="2"/>
  <c r="L133" i="2"/>
  <c r="K133" i="2"/>
  <c r="Q132" i="2"/>
  <c r="P132" i="2"/>
  <c r="O132" i="2"/>
  <c r="N132" i="2"/>
  <c r="M132" i="2"/>
  <c r="L132" i="2"/>
  <c r="K132" i="2"/>
  <c r="Q131" i="2"/>
  <c r="P131" i="2"/>
  <c r="O131" i="2"/>
  <c r="N131" i="2"/>
  <c r="M131" i="2"/>
  <c r="L131" i="2"/>
  <c r="K131" i="2"/>
  <c r="Q130" i="2"/>
  <c r="P130" i="2"/>
  <c r="O130" i="2"/>
  <c r="N130" i="2"/>
  <c r="M130" i="2"/>
  <c r="L130" i="2"/>
  <c r="K130" i="2"/>
  <c r="Q129" i="2"/>
  <c r="P129" i="2"/>
  <c r="O129" i="2"/>
  <c r="N129" i="2"/>
  <c r="M129" i="2"/>
  <c r="L129" i="2"/>
  <c r="K129" i="2"/>
  <c r="Q128" i="2"/>
  <c r="P128" i="2"/>
  <c r="O128" i="2"/>
  <c r="N128" i="2"/>
  <c r="M128" i="2"/>
  <c r="L128" i="2"/>
  <c r="K128" i="2"/>
  <c r="Q127" i="2"/>
  <c r="P127" i="2"/>
  <c r="O127" i="2"/>
  <c r="N127" i="2"/>
  <c r="M127" i="2"/>
  <c r="L127" i="2"/>
  <c r="K127" i="2"/>
  <c r="Q126" i="2"/>
  <c r="P126" i="2"/>
  <c r="O126" i="2"/>
  <c r="N126" i="2"/>
  <c r="M126" i="2"/>
  <c r="L126" i="2"/>
  <c r="K126" i="2"/>
  <c r="Q125" i="2"/>
  <c r="P125" i="2"/>
  <c r="O125" i="2"/>
  <c r="N125" i="2"/>
  <c r="M125" i="2"/>
  <c r="L125" i="2"/>
  <c r="K125" i="2"/>
  <c r="Q124" i="2"/>
  <c r="P124" i="2"/>
  <c r="O124" i="2"/>
  <c r="N124" i="2"/>
  <c r="M124" i="2"/>
  <c r="L124" i="2"/>
  <c r="K124" i="2"/>
  <c r="Q123" i="2"/>
  <c r="P123" i="2"/>
  <c r="O123" i="2"/>
  <c r="N123" i="2"/>
  <c r="M123" i="2"/>
  <c r="L123" i="2"/>
  <c r="K123" i="2"/>
  <c r="Q122" i="2"/>
  <c r="P122" i="2"/>
  <c r="O122" i="2"/>
  <c r="N122" i="2"/>
  <c r="M122" i="2"/>
  <c r="L122" i="2"/>
  <c r="K122" i="2"/>
  <c r="Q121" i="2"/>
  <c r="P121" i="2"/>
  <c r="O121" i="2"/>
  <c r="N121" i="2"/>
  <c r="M121" i="2"/>
  <c r="L121" i="2"/>
  <c r="K121" i="2"/>
  <c r="Q120" i="2"/>
  <c r="P120" i="2"/>
  <c r="O120" i="2"/>
  <c r="N120" i="2"/>
  <c r="M120" i="2"/>
  <c r="L120" i="2"/>
  <c r="K120" i="2"/>
  <c r="Q119" i="2"/>
  <c r="P119" i="2"/>
  <c r="O119" i="2"/>
  <c r="N119" i="2"/>
  <c r="M119" i="2"/>
  <c r="L119" i="2"/>
  <c r="K119" i="2"/>
  <c r="Q118" i="2"/>
  <c r="P118" i="2"/>
  <c r="O118" i="2"/>
  <c r="N118" i="2"/>
  <c r="M118" i="2"/>
  <c r="L118" i="2"/>
  <c r="K118" i="2"/>
  <c r="Q117" i="2"/>
  <c r="P117" i="2"/>
  <c r="O117" i="2"/>
  <c r="N117" i="2"/>
  <c r="M117" i="2"/>
  <c r="L117" i="2"/>
  <c r="K117" i="2"/>
  <c r="Q116" i="2"/>
  <c r="P116" i="2"/>
  <c r="O116" i="2"/>
  <c r="N116" i="2"/>
  <c r="M116" i="2"/>
  <c r="L116" i="2"/>
  <c r="K116" i="2"/>
  <c r="Q115" i="2"/>
  <c r="P115" i="2"/>
  <c r="O115" i="2"/>
  <c r="N115" i="2"/>
  <c r="M115" i="2"/>
  <c r="L115" i="2"/>
  <c r="K115" i="2"/>
  <c r="Q114" i="2"/>
  <c r="P114" i="2"/>
  <c r="O114" i="2"/>
  <c r="N114" i="2"/>
  <c r="M114" i="2"/>
  <c r="L114" i="2"/>
  <c r="K114" i="2"/>
  <c r="Q113" i="2"/>
  <c r="P113" i="2"/>
  <c r="O113" i="2"/>
  <c r="N113" i="2"/>
  <c r="M113" i="2"/>
  <c r="L113" i="2"/>
  <c r="K113" i="2"/>
  <c r="Q112" i="2"/>
  <c r="P112" i="2"/>
  <c r="O112" i="2"/>
  <c r="N112" i="2"/>
  <c r="M112" i="2"/>
  <c r="L112" i="2"/>
  <c r="K112" i="2"/>
  <c r="Q111" i="2"/>
  <c r="P111" i="2"/>
  <c r="O111" i="2"/>
  <c r="N111" i="2"/>
  <c r="M111" i="2"/>
  <c r="L111" i="2"/>
  <c r="K111" i="2"/>
  <c r="Q110" i="2"/>
  <c r="P110" i="2"/>
  <c r="O110" i="2"/>
  <c r="N110" i="2"/>
  <c r="M110" i="2"/>
  <c r="L110" i="2"/>
  <c r="K110" i="2"/>
  <c r="Q109" i="2"/>
  <c r="P109" i="2"/>
  <c r="O109" i="2"/>
  <c r="N109" i="2"/>
  <c r="M109" i="2"/>
  <c r="L109" i="2"/>
  <c r="K109" i="2"/>
  <c r="Q108" i="2"/>
  <c r="P108" i="2"/>
  <c r="O108" i="2"/>
  <c r="N108" i="2"/>
  <c r="M108" i="2"/>
  <c r="L108" i="2"/>
  <c r="K108" i="2"/>
  <c r="Q107" i="2"/>
  <c r="P107" i="2"/>
  <c r="O107" i="2"/>
  <c r="N107" i="2"/>
  <c r="M107" i="2"/>
  <c r="L107" i="2"/>
  <c r="K107" i="2"/>
  <c r="Q106" i="2"/>
  <c r="P106" i="2"/>
  <c r="O106" i="2"/>
  <c r="N106" i="2"/>
  <c r="M106" i="2"/>
  <c r="L106" i="2"/>
  <c r="K106" i="2"/>
  <c r="Q105" i="2"/>
  <c r="P105" i="2"/>
  <c r="O105" i="2"/>
  <c r="N105" i="2"/>
  <c r="M105" i="2"/>
  <c r="L105" i="2"/>
  <c r="K105" i="2"/>
  <c r="Q104" i="2"/>
  <c r="P104" i="2"/>
  <c r="O104" i="2"/>
  <c r="N104" i="2"/>
  <c r="M104" i="2"/>
  <c r="L104" i="2"/>
  <c r="K104" i="2"/>
  <c r="Q103" i="2"/>
  <c r="P103" i="2"/>
  <c r="O103" i="2"/>
  <c r="N103" i="2"/>
  <c r="M103" i="2"/>
  <c r="L103" i="2"/>
  <c r="K103" i="2"/>
  <c r="Q102" i="2"/>
  <c r="P102" i="2"/>
  <c r="O102" i="2"/>
  <c r="N102" i="2"/>
  <c r="M102" i="2"/>
  <c r="L102" i="2"/>
  <c r="K102" i="2"/>
  <c r="Q101" i="2"/>
  <c r="P101" i="2"/>
  <c r="O101" i="2"/>
  <c r="N101" i="2"/>
  <c r="M101" i="2"/>
  <c r="L101" i="2"/>
  <c r="K101" i="2"/>
  <c r="Q100" i="2"/>
  <c r="P100" i="2"/>
  <c r="O100" i="2"/>
  <c r="N100" i="2"/>
  <c r="M100" i="2"/>
  <c r="L100" i="2"/>
  <c r="K100" i="2"/>
  <c r="Q99" i="2"/>
  <c r="P99" i="2"/>
  <c r="O99" i="2"/>
  <c r="N99" i="2"/>
  <c r="M99" i="2"/>
  <c r="L99" i="2"/>
  <c r="K99" i="2"/>
  <c r="Q98" i="2"/>
  <c r="P98" i="2"/>
  <c r="O98" i="2"/>
  <c r="N98" i="2"/>
  <c r="M98" i="2"/>
  <c r="L98" i="2"/>
  <c r="K98" i="2"/>
  <c r="Q97" i="2"/>
  <c r="P97" i="2"/>
  <c r="O97" i="2"/>
  <c r="N97" i="2"/>
  <c r="M97" i="2"/>
  <c r="L97" i="2"/>
  <c r="K97" i="2"/>
  <c r="Q96" i="2"/>
  <c r="P96" i="2"/>
  <c r="O96" i="2"/>
  <c r="N96" i="2"/>
  <c r="M96" i="2"/>
  <c r="L96" i="2"/>
  <c r="K96" i="2"/>
  <c r="Q95" i="2"/>
  <c r="P95" i="2"/>
  <c r="O95" i="2"/>
  <c r="N95" i="2"/>
  <c r="M95" i="2"/>
  <c r="L95" i="2"/>
  <c r="K95" i="2"/>
  <c r="Q94" i="2"/>
  <c r="P94" i="2"/>
  <c r="O94" i="2"/>
  <c r="N94" i="2"/>
  <c r="M94" i="2"/>
  <c r="L94" i="2"/>
  <c r="K94" i="2"/>
  <c r="Q93" i="2"/>
  <c r="P93" i="2"/>
  <c r="O93" i="2"/>
  <c r="N93" i="2"/>
  <c r="M93" i="2"/>
  <c r="L93" i="2"/>
  <c r="K93" i="2"/>
  <c r="Q92" i="2"/>
  <c r="P92" i="2"/>
  <c r="O92" i="2"/>
  <c r="N92" i="2"/>
  <c r="M92" i="2"/>
  <c r="L92" i="2"/>
  <c r="K92" i="2"/>
  <c r="Q91" i="2"/>
  <c r="P91" i="2"/>
  <c r="O91" i="2"/>
  <c r="N91" i="2"/>
  <c r="M91" i="2"/>
  <c r="L91" i="2"/>
  <c r="K91" i="2"/>
  <c r="Q90" i="2"/>
  <c r="P90" i="2"/>
  <c r="O90" i="2"/>
  <c r="N90" i="2"/>
  <c r="M90" i="2"/>
  <c r="L90" i="2"/>
  <c r="K90" i="2"/>
  <c r="Q89" i="2"/>
  <c r="P89" i="2"/>
  <c r="O89" i="2"/>
  <c r="N89" i="2"/>
  <c r="M89" i="2"/>
  <c r="L89" i="2"/>
  <c r="K89" i="2"/>
  <c r="Q88" i="2"/>
  <c r="P88" i="2"/>
  <c r="O88" i="2"/>
  <c r="N88" i="2"/>
  <c r="M88" i="2"/>
  <c r="L88" i="2"/>
  <c r="K88" i="2"/>
  <c r="Q87" i="2"/>
  <c r="P87" i="2"/>
  <c r="O87" i="2"/>
  <c r="N87" i="2"/>
  <c r="M87" i="2"/>
  <c r="L87" i="2"/>
  <c r="K87" i="2"/>
  <c r="Q86" i="2"/>
  <c r="P86" i="2"/>
  <c r="O86" i="2"/>
  <c r="N86" i="2"/>
  <c r="M86" i="2"/>
  <c r="L86" i="2"/>
  <c r="K86" i="2"/>
  <c r="Q85" i="2"/>
  <c r="P85" i="2"/>
  <c r="O85" i="2"/>
  <c r="N85" i="2"/>
  <c r="M85" i="2"/>
  <c r="L85" i="2"/>
  <c r="K85" i="2"/>
  <c r="Q84" i="2"/>
  <c r="P84" i="2"/>
  <c r="O84" i="2"/>
  <c r="N84" i="2"/>
  <c r="M84" i="2"/>
  <c r="L84" i="2"/>
  <c r="K84" i="2"/>
  <c r="Q83" i="2"/>
  <c r="P83" i="2"/>
  <c r="O83" i="2"/>
  <c r="N83" i="2"/>
  <c r="M83" i="2"/>
  <c r="L83" i="2"/>
  <c r="K83" i="2"/>
  <c r="Q82" i="2"/>
  <c r="P82" i="2"/>
  <c r="O82" i="2"/>
  <c r="N82" i="2"/>
  <c r="M82" i="2"/>
  <c r="L82" i="2"/>
  <c r="K82" i="2"/>
  <c r="Q81" i="2"/>
  <c r="P81" i="2"/>
  <c r="O81" i="2"/>
  <c r="N81" i="2"/>
  <c r="M81" i="2"/>
  <c r="L81" i="2"/>
  <c r="K81" i="2"/>
  <c r="Q80" i="2"/>
  <c r="P80" i="2"/>
  <c r="O80" i="2"/>
  <c r="N80" i="2"/>
  <c r="M80" i="2"/>
  <c r="L80" i="2"/>
  <c r="K80" i="2"/>
  <c r="Q79" i="2"/>
  <c r="P79" i="2"/>
  <c r="O79" i="2"/>
  <c r="N79" i="2"/>
  <c r="M79" i="2"/>
  <c r="L79" i="2"/>
  <c r="K79" i="2"/>
  <c r="Q78" i="2"/>
  <c r="P78" i="2"/>
  <c r="O78" i="2"/>
  <c r="N78" i="2"/>
  <c r="M78" i="2"/>
  <c r="L78" i="2"/>
  <c r="K78" i="2"/>
  <c r="Q77" i="2"/>
  <c r="P77" i="2"/>
  <c r="O77" i="2"/>
  <c r="N77" i="2"/>
  <c r="M77" i="2"/>
  <c r="L77" i="2"/>
  <c r="K77" i="2"/>
  <c r="Q76" i="2"/>
  <c r="P76" i="2"/>
  <c r="O76" i="2"/>
  <c r="N76" i="2"/>
  <c r="M76" i="2"/>
  <c r="L76" i="2"/>
  <c r="K76" i="2"/>
  <c r="Q75" i="2"/>
  <c r="P75" i="2"/>
  <c r="O75" i="2"/>
  <c r="N75" i="2"/>
  <c r="M75" i="2"/>
  <c r="L75" i="2"/>
  <c r="K75" i="2"/>
  <c r="Q74" i="2"/>
  <c r="P74" i="2"/>
  <c r="O74" i="2"/>
  <c r="N74" i="2"/>
  <c r="M74" i="2"/>
  <c r="L74" i="2"/>
  <c r="K74" i="2"/>
  <c r="Q73" i="2"/>
  <c r="P73" i="2"/>
  <c r="O73" i="2"/>
  <c r="N73" i="2"/>
  <c r="M73" i="2"/>
  <c r="L73" i="2"/>
  <c r="K73" i="2"/>
  <c r="Q72" i="2"/>
  <c r="P72" i="2"/>
  <c r="O72" i="2"/>
  <c r="N72" i="2"/>
  <c r="M72" i="2"/>
  <c r="L72" i="2"/>
  <c r="K72" i="2"/>
  <c r="Q71" i="2"/>
  <c r="P71" i="2"/>
  <c r="O71" i="2"/>
  <c r="N71" i="2"/>
  <c r="M71" i="2"/>
  <c r="L71" i="2"/>
  <c r="K71" i="2"/>
  <c r="Q70" i="2"/>
  <c r="P70" i="2"/>
  <c r="O70" i="2"/>
  <c r="N70" i="2"/>
  <c r="M70" i="2"/>
  <c r="L70" i="2"/>
  <c r="K70" i="2"/>
  <c r="Q69" i="2"/>
  <c r="P69" i="2"/>
  <c r="O69" i="2"/>
  <c r="N69" i="2"/>
  <c r="M69" i="2"/>
  <c r="L69" i="2"/>
  <c r="K69" i="2"/>
  <c r="Q68" i="2"/>
  <c r="P68" i="2"/>
  <c r="O68" i="2"/>
  <c r="N68" i="2"/>
  <c r="M68" i="2"/>
  <c r="L68" i="2"/>
  <c r="K68" i="2"/>
  <c r="Q67" i="2"/>
  <c r="P67" i="2"/>
  <c r="O67" i="2"/>
  <c r="N67" i="2"/>
  <c r="M67" i="2"/>
  <c r="L67" i="2"/>
  <c r="K67" i="2"/>
  <c r="Q66" i="2"/>
  <c r="P66" i="2"/>
  <c r="O66" i="2"/>
  <c r="N66" i="2"/>
  <c r="M66" i="2"/>
  <c r="L66" i="2"/>
  <c r="K66" i="2"/>
  <c r="Q65" i="2"/>
  <c r="P65" i="2"/>
  <c r="O65" i="2"/>
  <c r="N65" i="2"/>
  <c r="M65" i="2"/>
  <c r="L65" i="2"/>
  <c r="K65" i="2"/>
  <c r="Q64" i="2"/>
  <c r="P64" i="2"/>
  <c r="O64" i="2"/>
  <c r="N64" i="2"/>
  <c r="M64" i="2"/>
  <c r="L64" i="2"/>
  <c r="K64" i="2"/>
  <c r="Q63" i="2"/>
  <c r="P63" i="2"/>
  <c r="O63" i="2"/>
  <c r="N63" i="2"/>
  <c r="M63" i="2"/>
  <c r="L63" i="2"/>
  <c r="K63" i="2"/>
  <c r="Q62" i="2"/>
  <c r="P62" i="2"/>
  <c r="O62" i="2"/>
  <c r="N62" i="2"/>
  <c r="M62" i="2"/>
  <c r="L62" i="2"/>
  <c r="K62" i="2"/>
  <c r="Q61" i="2"/>
  <c r="P61" i="2"/>
  <c r="O61" i="2"/>
  <c r="N61" i="2"/>
  <c r="M61" i="2"/>
  <c r="L61" i="2"/>
  <c r="K61" i="2"/>
  <c r="Q60" i="2"/>
  <c r="P60" i="2"/>
  <c r="O60" i="2"/>
  <c r="N60" i="2"/>
  <c r="M60" i="2"/>
  <c r="L60" i="2"/>
  <c r="K60" i="2"/>
  <c r="Q59" i="2"/>
  <c r="P59" i="2"/>
  <c r="O59" i="2"/>
  <c r="N59" i="2"/>
  <c r="M59" i="2"/>
  <c r="L59" i="2"/>
  <c r="K59" i="2"/>
  <c r="Q58" i="2"/>
  <c r="P58" i="2"/>
  <c r="O58" i="2"/>
  <c r="N58" i="2"/>
  <c r="M58" i="2"/>
  <c r="L58" i="2"/>
  <c r="K58" i="2"/>
  <c r="Q57" i="2"/>
  <c r="P57" i="2"/>
  <c r="O57" i="2"/>
  <c r="N57" i="2"/>
  <c r="M57" i="2"/>
  <c r="L57" i="2"/>
  <c r="K57" i="2"/>
  <c r="Q56" i="2"/>
  <c r="P56" i="2"/>
  <c r="O56" i="2"/>
  <c r="N56" i="2"/>
  <c r="M56" i="2"/>
  <c r="L56" i="2"/>
  <c r="K56" i="2"/>
  <c r="Q55" i="2"/>
  <c r="P55" i="2"/>
  <c r="O55" i="2"/>
  <c r="N55" i="2"/>
  <c r="M55" i="2"/>
  <c r="L55" i="2"/>
  <c r="K55" i="2"/>
  <c r="Q54" i="2"/>
  <c r="P54" i="2"/>
  <c r="O54" i="2"/>
  <c r="N54" i="2"/>
  <c r="M54" i="2"/>
  <c r="L54" i="2"/>
  <c r="K54" i="2"/>
  <c r="Q53" i="2"/>
  <c r="P53" i="2"/>
  <c r="O53" i="2"/>
  <c r="N53" i="2"/>
  <c r="M53" i="2"/>
  <c r="L53" i="2"/>
  <c r="K53" i="2"/>
  <c r="Q52" i="2"/>
  <c r="P52" i="2"/>
  <c r="O52" i="2"/>
  <c r="N52" i="2"/>
  <c r="M52" i="2"/>
  <c r="L52" i="2"/>
  <c r="K52" i="2"/>
  <c r="Q51" i="2"/>
  <c r="P51" i="2"/>
  <c r="O51" i="2"/>
  <c r="N51" i="2"/>
  <c r="M51" i="2"/>
  <c r="L51" i="2"/>
  <c r="K51" i="2"/>
  <c r="Q50" i="2"/>
  <c r="P50" i="2"/>
  <c r="O50" i="2"/>
  <c r="N50" i="2"/>
  <c r="M50" i="2"/>
  <c r="L50" i="2"/>
  <c r="K50" i="2"/>
  <c r="Q49" i="2"/>
  <c r="P49" i="2"/>
  <c r="O49" i="2"/>
  <c r="N49" i="2"/>
  <c r="M49" i="2"/>
  <c r="L49" i="2"/>
  <c r="K49" i="2"/>
  <c r="Q48" i="2"/>
  <c r="P48" i="2"/>
  <c r="O48" i="2"/>
  <c r="N48" i="2"/>
  <c r="M48" i="2"/>
  <c r="L48" i="2"/>
  <c r="K48" i="2"/>
  <c r="Q47" i="2"/>
  <c r="P47" i="2"/>
  <c r="O47" i="2"/>
  <c r="N47" i="2"/>
  <c r="M47" i="2"/>
  <c r="L47" i="2"/>
  <c r="K47" i="2"/>
  <c r="Q46" i="2"/>
  <c r="P46" i="2"/>
  <c r="O46" i="2"/>
  <c r="N46" i="2"/>
  <c r="M46" i="2"/>
  <c r="L46" i="2"/>
  <c r="K46" i="2"/>
  <c r="Q45" i="2"/>
  <c r="P45" i="2"/>
  <c r="O45" i="2"/>
  <c r="N45" i="2"/>
  <c r="M45" i="2"/>
  <c r="L45" i="2"/>
  <c r="K45" i="2"/>
  <c r="Q44" i="2"/>
  <c r="P44" i="2"/>
  <c r="O44" i="2"/>
  <c r="N44" i="2"/>
  <c r="M44" i="2"/>
  <c r="L44" i="2"/>
  <c r="K44" i="2"/>
  <c r="Q43" i="2"/>
  <c r="P43" i="2"/>
  <c r="O43" i="2"/>
  <c r="N43" i="2"/>
  <c r="M43" i="2"/>
  <c r="L43" i="2"/>
  <c r="K43" i="2"/>
  <c r="Q42" i="2"/>
  <c r="P42" i="2"/>
  <c r="O42" i="2"/>
  <c r="N42" i="2"/>
  <c r="M42" i="2"/>
  <c r="L42" i="2"/>
  <c r="K42" i="2"/>
  <c r="Q41" i="2"/>
  <c r="P41" i="2"/>
  <c r="O41" i="2"/>
  <c r="N41" i="2"/>
  <c r="M41" i="2"/>
  <c r="L41" i="2"/>
  <c r="K41" i="2"/>
  <c r="Q40" i="2"/>
  <c r="P40" i="2"/>
  <c r="O40" i="2"/>
  <c r="N40" i="2"/>
  <c r="M40" i="2"/>
  <c r="L40" i="2"/>
  <c r="K40" i="2"/>
  <c r="Q39" i="2"/>
  <c r="P39" i="2"/>
  <c r="O39" i="2"/>
  <c r="N39" i="2"/>
  <c r="M39" i="2"/>
  <c r="L39" i="2"/>
  <c r="K39" i="2"/>
  <c r="Q38" i="2"/>
  <c r="P38" i="2"/>
  <c r="O38" i="2"/>
  <c r="N38" i="2"/>
  <c r="M38" i="2"/>
  <c r="L38" i="2"/>
  <c r="K38" i="2"/>
  <c r="Q37" i="2"/>
  <c r="P37" i="2"/>
  <c r="O37" i="2"/>
  <c r="N37" i="2"/>
  <c r="M37" i="2"/>
  <c r="L37" i="2"/>
  <c r="K37" i="2"/>
  <c r="Q36" i="2"/>
  <c r="P36" i="2"/>
  <c r="O36" i="2"/>
  <c r="N36" i="2"/>
  <c r="M36" i="2"/>
  <c r="L36" i="2"/>
  <c r="K36" i="2"/>
  <c r="Q35" i="2"/>
  <c r="P35" i="2"/>
  <c r="O35" i="2"/>
  <c r="N35" i="2"/>
  <c r="M35" i="2"/>
  <c r="L35" i="2"/>
  <c r="K35" i="2"/>
  <c r="Q34" i="2"/>
  <c r="P34" i="2"/>
  <c r="O34" i="2"/>
  <c r="N34" i="2"/>
  <c r="M34" i="2"/>
  <c r="L34" i="2"/>
  <c r="K34" i="2"/>
  <c r="Q33" i="2"/>
  <c r="P33" i="2"/>
  <c r="O33" i="2"/>
  <c r="N33" i="2"/>
  <c r="M33" i="2"/>
  <c r="L33" i="2"/>
  <c r="K33" i="2"/>
  <c r="Q32" i="2"/>
  <c r="P32" i="2"/>
  <c r="O32" i="2"/>
  <c r="N32" i="2"/>
  <c r="M32" i="2"/>
  <c r="L32" i="2"/>
  <c r="K32" i="2"/>
  <c r="Q31" i="2"/>
  <c r="P31" i="2"/>
  <c r="O31" i="2"/>
  <c r="N31" i="2"/>
  <c r="M31" i="2"/>
  <c r="L31" i="2"/>
  <c r="K31" i="2"/>
  <c r="Q30" i="2"/>
  <c r="P30" i="2"/>
  <c r="O30" i="2"/>
  <c r="N30" i="2"/>
  <c r="M30" i="2"/>
  <c r="L30" i="2"/>
  <c r="K30" i="2"/>
  <c r="Q29" i="2"/>
  <c r="P29" i="2"/>
  <c r="O29" i="2"/>
  <c r="N29" i="2"/>
  <c r="M29" i="2"/>
  <c r="L29" i="2"/>
  <c r="K29" i="2"/>
  <c r="Q28" i="2"/>
  <c r="P28" i="2"/>
  <c r="O28" i="2"/>
  <c r="N28" i="2"/>
  <c r="M28" i="2"/>
  <c r="L28" i="2"/>
  <c r="K28" i="2"/>
  <c r="Q27" i="2"/>
  <c r="P27" i="2"/>
  <c r="O27" i="2"/>
  <c r="N27" i="2"/>
  <c r="M27" i="2"/>
  <c r="L27" i="2"/>
  <c r="K27" i="2"/>
  <c r="Q26" i="2"/>
  <c r="P26" i="2"/>
  <c r="O26" i="2"/>
  <c r="N26" i="2"/>
  <c r="M26" i="2"/>
  <c r="L26" i="2"/>
  <c r="K26" i="2"/>
  <c r="Q25" i="2"/>
  <c r="P25" i="2"/>
  <c r="O25" i="2"/>
  <c r="N25" i="2"/>
  <c r="M25" i="2"/>
  <c r="L25" i="2"/>
  <c r="K25" i="2"/>
  <c r="Q24" i="2"/>
  <c r="P24" i="2"/>
  <c r="O24" i="2"/>
  <c r="N24" i="2"/>
  <c r="M24" i="2"/>
  <c r="L24" i="2"/>
  <c r="K24" i="2"/>
  <c r="Q23" i="2"/>
  <c r="P23" i="2"/>
  <c r="O23" i="2"/>
  <c r="N23" i="2"/>
  <c r="M23" i="2"/>
  <c r="L23" i="2"/>
  <c r="K23" i="2"/>
  <c r="Q22" i="2"/>
  <c r="P22" i="2"/>
  <c r="O22" i="2"/>
  <c r="N22" i="2"/>
  <c r="M22" i="2"/>
  <c r="L22" i="2"/>
  <c r="K22" i="2"/>
  <c r="Q21" i="2"/>
  <c r="P21" i="2"/>
  <c r="O21" i="2"/>
  <c r="N21" i="2"/>
  <c r="M21" i="2"/>
  <c r="L21" i="2"/>
  <c r="K21" i="2"/>
  <c r="Q20" i="2"/>
  <c r="P20" i="2"/>
  <c r="O20" i="2"/>
  <c r="N20" i="2"/>
  <c r="M20" i="2"/>
  <c r="L20" i="2"/>
  <c r="K20" i="2"/>
  <c r="Q19" i="2"/>
  <c r="P19" i="2"/>
  <c r="O19" i="2"/>
  <c r="N19" i="2"/>
  <c r="M19" i="2"/>
  <c r="L19" i="2"/>
  <c r="K19" i="2"/>
  <c r="Q18" i="2"/>
  <c r="P18" i="2"/>
  <c r="O18" i="2"/>
  <c r="N18" i="2"/>
  <c r="M18" i="2"/>
  <c r="L18" i="2"/>
  <c r="K18" i="2"/>
  <c r="Q17" i="2"/>
  <c r="P17" i="2"/>
  <c r="O17" i="2"/>
  <c r="N17" i="2"/>
  <c r="M17" i="2"/>
  <c r="L17" i="2"/>
  <c r="K17" i="2"/>
  <c r="Q16" i="2"/>
  <c r="P16" i="2"/>
  <c r="O16" i="2"/>
  <c r="N16" i="2"/>
  <c r="M16" i="2"/>
  <c r="L16" i="2"/>
  <c r="K16" i="2"/>
  <c r="Q15" i="2"/>
  <c r="P15" i="2"/>
  <c r="O15" i="2"/>
  <c r="N15" i="2"/>
  <c r="M15" i="2"/>
  <c r="L15" i="2"/>
  <c r="K15" i="2"/>
  <c r="Q14" i="2"/>
  <c r="P14" i="2"/>
  <c r="O14" i="2"/>
  <c r="N14" i="2"/>
  <c r="M14" i="2"/>
  <c r="L14" i="2"/>
  <c r="K14" i="2"/>
  <c r="Q13" i="2"/>
  <c r="P13" i="2"/>
  <c r="O13" i="2"/>
  <c r="N13" i="2"/>
  <c r="M13" i="2"/>
  <c r="L13" i="2"/>
  <c r="K13" i="2"/>
  <c r="Q12" i="2"/>
  <c r="P12" i="2"/>
  <c r="O12" i="2"/>
  <c r="N12" i="2"/>
  <c r="M12" i="2"/>
  <c r="L12" i="2"/>
  <c r="K12" i="2"/>
  <c r="Q11" i="2"/>
  <c r="P11" i="2"/>
  <c r="O11" i="2"/>
  <c r="N11" i="2"/>
  <c r="M11" i="2"/>
  <c r="L11" i="2"/>
  <c r="K11" i="2"/>
  <c r="Q10" i="2"/>
  <c r="P10" i="2"/>
  <c r="O10" i="2"/>
  <c r="N10" i="2"/>
  <c r="M10" i="2"/>
  <c r="L10" i="2"/>
  <c r="K10" i="2"/>
  <c r="Q9" i="2"/>
  <c r="P9" i="2"/>
  <c r="O9" i="2"/>
  <c r="N9" i="2"/>
  <c r="M9" i="2"/>
  <c r="L9" i="2"/>
  <c r="K9" i="2"/>
  <c r="Q8" i="2"/>
  <c r="P8" i="2"/>
  <c r="O8" i="2"/>
  <c r="N8" i="2"/>
  <c r="M8" i="2"/>
  <c r="L8" i="2"/>
  <c r="K8" i="2"/>
  <c r="Q7" i="2"/>
  <c r="P7" i="2"/>
  <c r="O7" i="2"/>
  <c r="N7" i="2"/>
  <c r="M7" i="2"/>
  <c r="L7" i="2"/>
  <c r="K7" i="2"/>
  <c r="Q6" i="2"/>
  <c r="P6" i="2"/>
  <c r="O6" i="2"/>
  <c r="N6" i="2"/>
  <c r="M6" i="2"/>
  <c r="L6" i="2"/>
  <c r="K6" i="2"/>
  <c r="Q5" i="2"/>
  <c r="P5" i="2"/>
  <c r="O5" i="2"/>
  <c r="N5" i="2"/>
  <c r="M5" i="2"/>
  <c r="L5" i="2"/>
  <c r="K5" i="2"/>
  <c r="Q4" i="2"/>
  <c r="P4" i="2"/>
  <c r="O4" i="2"/>
  <c r="N4" i="2"/>
  <c r="M4" i="2"/>
  <c r="L4" i="2"/>
  <c r="K4" i="2"/>
  <c r="Q3" i="2"/>
  <c r="P3" i="2"/>
  <c r="O3" i="2"/>
  <c r="E4" i="1" s="1"/>
  <c r="N3" i="2"/>
  <c r="M3" i="2"/>
  <c r="L3" i="2"/>
  <c r="K3" i="2"/>
  <c r="Q2" i="2"/>
  <c r="P2" i="2"/>
  <c r="O2" i="2"/>
  <c r="N2" i="2"/>
  <c r="M2" i="2"/>
  <c r="L2" i="2"/>
  <c r="K2" i="2"/>
  <c r="D21" i="1"/>
  <c r="C21" i="1"/>
  <c r="B21" i="1"/>
  <c r="A21" i="1"/>
  <c r="D20" i="1"/>
  <c r="B20" i="1"/>
  <c r="A20" i="1"/>
  <c r="D19" i="1"/>
  <c r="C19" i="1"/>
  <c r="B19" i="1"/>
  <c r="A19" i="1"/>
  <c r="D18" i="1"/>
  <c r="C18" i="1"/>
  <c r="A18" i="1"/>
  <c r="D17" i="1"/>
  <c r="C17" i="1"/>
  <c r="B17" i="1"/>
  <c r="A17" i="1"/>
  <c r="E16" i="1"/>
  <c r="G16" i="1" s="1"/>
  <c r="D16" i="1"/>
  <c r="C16" i="1"/>
  <c r="A16" i="1"/>
  <c r="D15" i="1"/>
  <c r="B15" i="1"/>
  <c r="A15" i="1"/>
  <c r="D14" i="1"/>
  <c r="C14" i="1"/>
  <c r="B14" i="1"/>
  <c r="A14" i="1"/>
  <c r="B13" i="1"/>
  <c r="A13" i="1"/>
  <c r="C12" i="1"/>
  <c r="B12" i="1"/>
  <c r="A12" i="1"/>
  <c r="E11" i="1"/>
  <c r="G11" i="1" s="1"/>
  <c r="D11" i="1"/>
  <c r="C11" i="1"/>
  <c r="B11" i="1"/>
  <c r="A11" i="1"/>
  <c r="D10" i="1"/>
  <c r="B10" i="1"/>
  <c r="A10" i="1"/>
  <c r="D9" i="1"/>
  <c r="C9" i="1"/>
  <c r="B9" i="1"/>
  <c r="A9" i="1"/>
  <c r="H4" i="1"/>
  <c r="G4" i="1"/>
  <c r="D4" i="1"/>
  <c r="C4" i="1"/>
  <c r="B4" i="1"/>
  <c r="A4" i="1"/>
  <c r="E9" i="1" l="1"/>
  <c r="G9" i="1" s="1"/>
  <c r="G15" i="4"/>
  <c r="F20" i="1" s="1"/>
  <c r="G10" i="4"/>
  <c r="F15" i="1" s="1"/>
  <c r="F13" i="4"/>
  <c r="E18" i="1" s="1"/>
  <c r="G18" i="1" s="1"/>
  <c r="F7" i="4"/>
  <c r="E12" i="1" s="1"/>
  <c r="G12" i="1" s="1"/>
  <c r="G12" i="4" l="1"/>
  <c r="F17" i="1" s="1"/>
  <c r="G5" i="4"/>
  <c r="F10" i="1" s="1"/>
  <c r="G6" i="4"/>
  <c r="F11" i="1" s="1"/>
  <c r="G11" i="4"/>
  <c r="F16" i="1" s="1"/>
  <c r="G4" i="4"/>
  <c r="F9" i="1" s="1"/>
  <c r="G16" i="4"/>
  <c r="F21" i="1" s="1"/>
  <c r="G8" i="4"/>
  <c r="F13" i="1" s="1"/>
  <c r="G9" i="4"/>
  <c r="F14" i="1" s="1"/>
  <c r="G7" i="4"/>
  <c r="F12" i="1" s="1"/>
  <c r="F4" i="1"/>
  <c r="G13" i="4"/>
  <c r="F18" i="1" s="1"/>
  <c r="G14" i="4"/>
  <c r="F19" i="1" s="1"/>
</calcChain>
</file>

<file path=xl/sharedStrings.xml><?xml version="1.0" encoding="utf-8"?>
<sst xmlns="http://schemas.openxmlformats.org/spreadsheetml/2006/main" count="201" uniqueCount="148">
  <si>
    <t>Forge &amp; Fabric - WIP &amp; Delivery Dashboard</t>
  </si>
  <si>
    <t>Open Orders</t>
  </si>
  <si>
    <t>In Production</t>
  </si>
  <si>
    <t>Delivered Orders</t>
  </si>
  <si>
    <t>Total Order Qty</t>
  </si>
  <si>
    <t>Delivered Qty</t>
  </si>
  <si>
    <t>Net WIP</t>
  </si>
  <si>
    <t>Rework Qty</t>
  </si>
  <si>
    <t>Reject Qty</t>
  </si>
  <si>
    <t>How to read this tracker</t>
  </si>
  <si>
    <t>Enter each movement as a row in WIPLog. Stage Summary and Dashboard will calculate WIP balances, rework, reject, and delivery progress from those entries.</t>
  </si>
  <si>
    <t>WIP by Production Stage</t>
  </si>
  <si>
    <t>Quick Entry Checklist</t>
  </si>
  <si>
    <t>Stage</t>
  </si>
  <si>
    <t>Total IN</t>
  </si>
  <si>
    <t>Total OUT</t>
  </si>
  <si>
    <t>Reject</t>
  </si>
  <si>
    <t>% WIP</t>
  </si>
  <si>
    <t>Status</t>
  </si>
  <si>
    <t>Area</t>
  </si>
  <si>
    <t>What to Enter</t>
  </si>
  <si>
    <t>Sheet</t>
  </si>
  <si>
    <t>Frequency</t>
  </si>
  <si>
    <t>Owner</t>
  </si>
  <si>
    <t>Notes</t>
  </si>
  <si>
    <t>Orders</t>
  </si>
  <si>
    <t>New PO / style / qty / planned date</t>
  </si>
  <si>
    <t>When order is received</t>
  </si>
  <si>
    <t>Planner</t>
  </si>
  <si>
    <t>One row per customer order</t>
  </si>
  <si>
    <t>Material</t>
  </si>
  <si>
    <t>Received fabric, trims, hold/shortage</t>
  </si>
  <si>
    <t>Orders + WIPLog</t>
  </si>
  <si>
    <t>On receiving</t>
  </si>
  <si>
    <t>Warehouse</t>
  </si>
  <si>
    <t>Use Material Status</t>
  </si>
  <si>
    <t>Production</t>
  </si>
  <si>
    <t>Stage IN and OUT quantities</t>
  </si>
  <si>
    <t>WIPLog</t>
  </si>
  <si>
    <t>Daily / per batch</t>
  </si>
  <si>
    <t>Line Supervisor</t>
  </si>
  <si>
    <t>Use one row per movement</t>
  </si>
  <si>
    <t>Quality</t>
  </si>
  <si>
    <t>Rework and reject quantities</t>
  </si>
  <si>
    <t>At QC gate</t>
  </si>
  <si>
    <t>QC</t>
  </si>
  <si>
    <t>Use QC Status</t>
  </si>
  <si>
    <t>Delivery</t>
  </si>
  <si>
    <t>Delivered qty, cartons, POD</t>
  </si>
  <si>
    <t>Delivery Log</t>
  </si>
  <si>
    <t>At dispatch</t>
  </si>
  <si>
    <t>Shipping</t>
  </si>
  <si>
    <t>Updates Orders automatically</t>
  </si>
  <si>
    <t>Order ID</t>
  </si>
  <si>
    <t>Customer</t>
  </si>
  <si>
    <t>PO Number</t>
  </si>
  <si>
    <t>Style No</t>
  </si>
  <si>
    <t>Style Description</t>
  </si>
  <si>
    <t>Color</t>
  </si>
  <si>
    <t>Order Qty</t>
  </si>
  <si>
    <t>Order Date</t>
  </si>
  <si>
    <t>Planned Ship Date</t>
  </si>
  <si>
    <t>Material Status</t>
  </si>
  <si>
    <t>Current Stage</t>
  </si>
  <si>
    <t>Total Stage IN</t>
  </si>
  <si>
    <t>Total Stage OUT</t>
  </si>
  <si>
    <t>Open Balance</t>
  </si>
  <si>
    <t>Delivery Status</t>
  </si>
  <si>
    <t>Log Date</t>
  </si>
  <si>
    <t>Log ID</t>
  </si>
  <si>
    <t>Movement Type</t>
  </si>
  <si>
    <t>Qty IN</t>
  </si>
  <si>
    <t>Qty OUT</t>
  </si>
  <si>
    <t>Net WIP Impact</t>
  </si>
  <si>
    <t>QC Status</t>
  </si>
  <si>
    <t>Operator</t>
  </si>
  <si>
    <t>Batch / Lot</t>
  </si>
  <si>
    <t>Remarks</t>
  </si>
  <si>
    <t>Updated By</t>
  </si>
  <si>
    <t>Forge &amp; Fabric - Stage WIP Summary</t>
  </si>
  <si>
    <t>% of Total WIP</t>
  </si>
  <si>
    <t>Customer Order Intake</t>
  </si>
  <si>
    <t>Raw Material Receiving</t>
  </si>
  <si>
    <t>Fabric &amp; Trim Inspection</t>
  </si>
  <si>
    <t>Pre-Production Planning</t>
  </si>
  <si>
    <t>Pattern / Marker / Cutting</t>
  </si>
  <si>
    <t>Bundling &amp; Line Feeding</t>
  </si>
  <si>
    <t>Sewing Production</t>
  </si>
  <si>
    <t>Pre-Wash QC</t>
  </si>
  <si>
    <t>Laundry / Wash / Dry</t>
  </si>
  <si>
    <t>Laser / Ozone / Spray / 3D Finish</t>
  </si>
  <si>
    <t>Final Quality Inspection</t>
  </si>
  <si>
    <t>Pressing / Tagging / Packing</t>
  </si>
  <si>
    <t>Finished Goods Dispatch</t>
  </si>
  <si>
    <t>Order Status Summary</t>
  </si>
  <si>
    <t>Delivery Date</t>
  </si>
  <si>
    <t>Cartons</t>
  </si>
  <si>
    <t>Carrier / Truck</t>
  </si>
  <si>
    <t>POD / Tracking</t>
  </si>
  <si>
    <t>Customer Acceptance</t>
  </si>
  <si>
    <t>Invoice / Ref</t>
  </si>
  <si>
    <t>Production Stages</t>
  </si>
  <si>
    <t>Movement Types</t>
  </si>
  <si>
    <t>IN</t>
  </si>
  <si>
    <t>Not Checked</t>
  </si>
  <si>
    <t>Pending</t>
  </si>
  <si>
    <t>Open</t>
  </si>
  <si>
    <t>OUT</t>
  </si>
  <si>
    <t>Pass</t>
  </si>
  <si>
    <t>Received</t>
  </si>
  <si>
    <t>Partial</t>
  </si>
  <si>
    <t>Accepted</t>
  </si>
  <si>
    <t>REWORK</t>
  </si>
  <si>
    <t>Rework</t>
  </si>
  <si>
    <t>In Inspection</t>
  </si>
  <si>
    <t>Ready to Ship</t>
  </si>
  <si>
    <t>Rejected</t>
  </si>
  <si>
    <t>REJECT</t>
  </si>
  <si>
    <t>Approved</t>
  </si>
  <si>
    <t>Delivered</t>
  </si>
  <si>
    <t>Claims / Review</t>
  </si>
  <si>
    <t>HOLD</t>
  </si>
  <si>
    <t>Hold</t>
  </si>
  <si>
    <t>On Hold</t>
  </si>
  <si>
    <t>Closed</t>
  </si>
  <si>
    <t>ADJUSTMENT</t>
  </si>
  <si>
    <t>Customer Review</t>
  </si>
  <si>
    <t>Shortage</t>
  </si>
  <si>
    <t>Forge &amp; Fabric WIP Tracker - How to Use</t>
  </si>
  <si>
    <t>Purpose</t>
  </si>
  <si>
    <t>Use this workbook to track customer orders, customer-supplied raw materials, WIP movement through each production stage, and final delivery of finished garments.</t>
  </si>
  <si>
    <t>Recommended Daily Entry Flow</t>
  </si>
  <si>
    <t>1</t>
  </si>
  <si>
    <t>Enter the customer order on the Orders sheet.</t>
  </si>
  <si>
    <t>2</t>
  </si>
  <si>
    <t>For each movement into or out of a department/stage, enter one row in WIPLog.</t>
  </si>
  <si>
    <t>3</t>
  </si>
  <si>
    <t>Use Stage Summary to see WIP quantity currently sitting at each production stage.</t>
  </si>
  <si>
    <t>4</t>
  </si>
  <si>
    <t>Record final shipments on Delivery Log when packed cartons leave the facility.</t>
  </si>
  <si>
    <t>5</t>
  </si>
  <si>
    <t>Use Dashboard for a quick view of open orders, delivered quantity, rejects, rework, and WIP by stage.</t>
  </si>
  <si>
    <t>Important Notes</t>
  </si>
  <si>
    <t>• Customer supplies fabric, trims, and accessories. Track shortages or holds on the Orders sheet.</t>
  </si>
  <si>
    <t>• Use Movement Type = IN when garments enter a stage and OUT when they leave that stage.</t>
  </si>
  <si>
    <t>• Use REWORK or REJECT quantities to keep quality issues visible.</t>
  </si>
  <si>
    <t>• Final delivery quantities should be recorded on Delivery Log; Orders will calculate delivery status.</t>
  </si>
  <si>
    <t>• Do not delete formula columns. Add new rows inside the formatted table areas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</si>
</sst>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B2F5B"/>
      <name val="Carlito"/>
    </font>
    <font>
      <b/>
      <sz val="14"/>
      <color rgb="FF0B2F5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2F5B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3" fontId="4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11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D4ED8"/>
      </font>
      <fill>
        <patternFill patternType="solid">
          <bgColor rgb="FFEFF6FF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E40AF"/>
      </font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Net WIP by Stage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IN</c:v>
          </c:tx>
          <c:invertIfNegative val="1"/>
          <c:cat>
            <c:strRef>
              <c:f>Dashboard!$A$9:$A$21</c:f>
              <c:strCache>
                <c:ptCount val="13"/>
                <c:pt idx="0">
                  <c:v>Customer Order Intake</c:v>
                </c:pt>
                <c:pt idx="1">
                  <c:v>Raw Material Receiving</c:v>
                </c:pt>
                <c:pt idx="2">
                  <c:v>Fabric &amp; Trim Inspection</c:v>
                </c:pt>
                <c:pt idx="3">
                  <c:v>Pre-Production Planning</c:v>
                </c:pt>
                <c:pt idx="4">
                  <c:v>Pattern / Marker / Cutting</c:v>
                </c:pt>
                <c:pt idx="5">
                  <c:v>Bundling &amp; Line Feeding</c:v>
                </c:pt>
                <c:pt idx="6">
                  <c:v>Sewing Production</c:v>
                </c:pt>
                <c:pt idx="7">
                  <c:v>Pre-Wash QC</c:v>
                </c:pt>
                <c:pt idx="8">
                  <c:v>Laundry / Wash / Dry</c:v>
                </c:pt>
                <c:pt idx="9">
                  <c:v>Laser / Ozone / Spray / 3D Finish</c:v>
                </c:pt>
                <c:pt idx="10">
                  <c:v>Final Quality Inspection</c:v>
                </c:pt>
                <c:pt idx="11">
                  <c:v>Pressing / Tagging / Packing</c:v>
                </c:pt>
                <c:pt idx="12">
                  <c:v>Finished Goods Dispatch</c:v>
                </c:pt>
              </c:strCache>
            </c:strRef>
          </c:cat>
          <c:val>
            <c:numRef>
              <c:f>Dashboard!$B$9:$B$21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1-314D-878F-725BB5CB7BD7}"/>
            </c:ext>
          </c:extLst>
        </c:ser>
        <c:ser>
          <c:idx val="1"/>
          <c:order val="1"/>
          <c:tx>
            <c:v>Total OUT</c:v>
          </c:tx>
          <c:invertIfNegative val="1"/>
          <c:cat>
            <c:strRef>
              <c:f>Dashboard!$A$9:$A$21</c:f>
              <c:strCache>
                <c:ptCount val="13"/>
                <c:pt idx="0">
                  <c:v>Customer Order Intake</c:v>
                </c:pt>
                <c:pt idx="1">
                  <c:v>Raw Material Receiving</c:v>
                </c:pt>
                <c:pt idx="2">
                  <c:v>Fabric &amp; Trim Inspection</c:v>
                </c:pt>
                <c:pt idx="3">
                  <c:v>Pre-Production Planning</c:v>
                </c:pt>
                <c:pt idx="4">
                  <c:v>Pattern / Marker / Cutting</c:v>
                </c:pt>
                <c:pt idx="5">
                  <c:v>Bundling &amp; Line Feeding</c:v>
                </c:pt>
                <c:pt idx="6">
                  <c:v>Sewing Production</c:v>
                </c:pt>
                <c:pt idx="7">
                  <c:v>Pre-Wash QC</c:v>
                </c:pt>
                <c:pt idx="8">
                  <c:v>Laundry / Wash / Dry</c:v>
                </c:pt>
                <c:pt idx="9">
                  <c:v>Laser / Ozone / Spray / 3D Finish</c:v>
                </c:pt>
                <c:pt idx="10">
                  <c:v>Final Quality Inspection</c:v>
                </c:pt>
                <c:pt idx="11">
                  <c:v>Pressing / Tagging / Packing</c:v>
                </c:pt>
                <c:pt idx="12">
                  <c:v>Finished Goods Dispatch</c:v>
                </c:pt>
              </c:strCache>
            </c:strRef>
          </c:cat>
          <c:val>
            <c:numRef>
              <c:f>Dashboard!$C$9:$C$21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1-314D-878F-725BB5CB7BD7}"/>
            </c:ext>
          </c:extLst>
        </c:ser>
        <c:ser>
          <c:idx val="2"/>
          <c:order val="2"/>
          <c:tx>
            <c:v>Reject</c:v>
          </c:tx>
          <c:invertIfNegative val="1"/>
          <c:cat>
            <c:strRef>
              <c:f>Dashboard!$A$9:$A$21</c:f>
              <c:strCache>
                <c:ptCount val="13"/>
                <c:pt idx="0">
                  <c:v>Customer Order Intake</c:v>
                </c:pt>
                <c:pt idx="1">
                  <c:v>Raw Material Receiving</c:v>
                </c:pt>
                <c:pt idx="2">
                  <c:v>Fabric &amp; Trim Inspection</c:v>
                </c:pt>
                <c:pt idx="3">
                  <c:v>Pre-Production Planning</c:v>
                </c:pt>
                <c:pt idx="4">
                  <c:v>Pattern / Marker / Cutting</c:v>
                </c:pt>
                <c:pt idx="5">
                  <c:v>Bundling &amp; Line Feeding</c:v>
                </c:pt>
                <c:pt idx="6">
                  <c:v>Sewing Production</c:v>
                </c:pt>
                <c:pt idx="7">
                  <c:v>Pre-Wash QC</c:v>
                </c:pt>
                <c:pt idx="8">
                  <c:v>Laundry / Wash / Dry</c:v>
                </c:pt>
                <c:pt idx="9">
                  <c:v>Laser / Ozone / Spray / 3D Finish</c:v>
                </c:pt>
                <c:pt idx="10">
                  <c:v>Final Quality Inspection</c:v>
                </c:pt>
                <c:pt idx="11">
                  <c:v>Pressing / Tagging / Packing</c:v>
                </c:pt>
                <c:pt idx="12">
                  <c:v>Finished Goods Dispatch</c:v>
                </c:pt>
              </c:strCache>
            </c:strRef>
          </c:cat>
          <c:val>
            <c:numRef>
              <c:f>Dashboard!$D$9:$D$21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1-314D-878F-725BB5CB7BD7}"/>
            </c:ext>
          </c:extLst>
        </c:ser>
        <c:ser>
          <c:idx val="3"/>
          <c:order val="3"/>
          <c:tx>
            <c:v>Net WIP</c:v>
          </c:tx>
          <c:invertIfNegative val="1"/>
          <c:cat>
            <c:strRef>
              <c:f>Dashboard!$A$9:$A$21</c:f>
              <c:strCache>
                <c:ptCount val="13"/>
                <c:pt idx="0">
                  <c:v>Customer Order Intake</c:v>
                </c:pt>
                <c:pt idx="1">
                  <c:v>Raw Material Receiving</c:v>
                </c:pt>
                <c:pt idx="2">
                  <c:v>Fabric &amp; Trim Inspection</c:v>
                </c:pt>
                <c:pt idx="3">
                  <c:v>Pre-Production Planning</c:v>
                </c:pt>
                <c:pt idx="4">
                  <c:v>Pattern / Marker / Cutting</c:v>
                </c:pt>
                <c:pt idx="5">
                  <c:v>Bundling &amp; Line Feeding</c:v>
                </c:pt>
                <c:pt idx="6">
                  <c:v>Sewing Production</c:v>
                </c:pt>
                <c:pt idx="7">
                  <c:v>Pre-Wash QC</c:v>
                </c:pt>
                <c:pt idx="8">
                  <c:v>Laundry / Wash / Dry</c:v>
                </c:pt>
                <c:pt idx="9">
                  <c:v>Laser / Ozone / Spray / 3D Finish</c:v>
                </c:pt>
                <c:pt idx="10">
                  <c:v>Final Quality Inspection</c:v>
                </c:pt>
                <c:pt idx="11">
                  <c:v>Pressing / Tagging / Packing</c:v>
                </c:pt>
                <c:pt idx="12">
                  <c:v>Finished Goods Dispatch</c:v>
                </c:pt>
              </c:strCache>
            </c:strRef>
          </c:cat>
          <c:val>
            <c:numRef>
              <c:f>Dashboard!$E$9:$E$21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1-314D-878F-725BB5CB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R500">
  <tableColumns count="18">
    <tableColumn id="1" xr3:uid="{00000000-0010-0000-0000-000001000000}" name="Order ID"/>
    <tableColumn id="2" xr3:uid="{00000000-0010-0000-0000-000002000000}" name="Customer"/>
    <tableColumn id="3" xr3:uid="{00000000-0010-0000-0000-000003000000}" name="PO Number"/>
    <tableColumn id="4" xr3:uid="{00000000-0010-0000-0000-000004000000}" name="Style No"/>
    <tableColumn id="5" xr3:uid="{00000000-0010-0000-0000-000005000000}" name="Style Description"/>
    <tableColumn id="6" xr3:uid="{00000000-0010-0000-0000-000006000000}" name="Color"/>
    <tableColumn id="7" xr3:uid="{00000000-0010-0000-0000-000007000000}" name="Order Qty"/>
    <tableColumn id="8" xr3:uid="{00000000-0010-0000-0000-000008000000}" name="Order Date"/>
    <tableColumn id="9" xr3:uid="{00000000-0010-0000-0000-000009000000}" name="Planned Ship Date"/>
    <tableColumn id="10" xr3:uid="{00000000-0010-0000-0000-00000A000000}" name="Material Status"/>
    <tableColumn id="11" xr3:uid="{00000000-0010-0000-0000-00000B000000}" name="Current Stage"/>
    <tableColumn id="12" xr3:uid="{00000000-0010-0000-0000-00000C000000}" name="Total Stage IN"/>
    <tableColumn id="13" xr3:uid="{00000000-0010-0000-0000-00000D000000}" name="Total Stage OUT"/>
    <tableColumn id="14" xr3:uid="{00000000-0010-0000-0000-00000E000000}" name="Reject Qty"/>
    <tableColumn id="15" xr3:uid="{00000000-0010-0000-0000-00000F000000}" name="Delivered Qty"/>
    <tableColumn id="16" xr3:uid="{00000000-0010-0000-0000-000010000000}" name="Open Balance"/>
    <tableColumn id="17" xr3:uid="{00000000-0010-0000-0000-000011000000}" name="Delivery Status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PLogTable" displayName="WIPLogTable" ref="A1:Q1000">
  <tableColumns count="17">
    <tableColumn id="1" xr3:uid="{00000000-0010-0000-0100-000001000000}" name="Log Date"/>
    <tableColumn id="2" xr3:uid="{00000000-0010-0000-0100-000002000000}" name="Log ID"/>
    <tableColumn id="3" xr3:uid="{00000000-0010-0000-0100-000003000000}" name="Order ID"/>
    <tableColumn id="4" xr3:uid="{00000000-0010-0000-0100-000004000000}" name="Customer"/>
    <tableColumn id="5" xr3:uid="{00000000-0010-0000-0100-000005000000}" name="Style No"/>
    <tableColumn id="6" xr3:uid="{00000000-0010-0000-0100-000006000000}" name="Stage"/>
    <tableColumn id="7" xr3:uid="{00000000-0010-0000-0100-000007000000}" name="Movement Type"/>
    <tableColumn id="8" xr3:uid="{00000000-0010-0000-0100-000008000000}" name="Qty IN"/>
    <tableColumn id="9" xr3:uid="{00000000-0010-0000-0100-000009000000}" name="Qty OUT"/>
    <tableColumn id="10" xr3:uid="{00000000-0010-0000-0100-00000A000000}" name="Rework Qty"/>
    <tableColumn id="11" xr3:uid="{00000000-0010-0000-0100-00000B000000}" name="Reject Qty"/>
    <tableColumn id="12" xr3:uid="{00000000-0010-0000-0100-00000C000000}" name="Net WIP Impact"/>
    <tableColumn id="13" xr3:uid="{00000000-0010-0000-0100-00000D000000}" name="QC Status"/>
    <tableColumn id="14" xr3:uid="{00000000-0010-0000-0100-00000E000000}" name="Operator"/>
    <tableColumn id="15" xr3:uid="{00000000-0010-0000-0100-00000F000000}" name="Batch / Lot"/>
    <tableColumn id="16" xr3:uid="{00000000-0010-0000-0100-000010000000}" name="Remarks"/>
    <tableColumn id="17" xr3:uid="{00000000-0010-0000-0100-000011000000}" name="Updated 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geSummaryTable" displayName="StageSummaryTable" ref="A3:H16">
  <tableColumns count="8">
    <tableColumn id="1" xr3:uid="{00000000-0010-0000-0200-000001000000}" name="Stage"/>
    <tableColumn id="2" xr3:uid="{00000000-0010-0000-0200-000002000000}" name="Total IN"/>
    <tableColumn id="3" xr3:uid="{00000000-0010-0000-0200-000003000000}" name="Total OUT"/>
    <tableColumn id="4" xr3:uid="{00000000-0010-0000-0200-000004000000}" name="Rework Qty"/>
    <tableColumn id="5" xr3:uid="{00000000-0010-0000-0200-000005000000}" name="Reject Qty"/>
    <tableColumn id="6" xr3:uid="{00000000-0010-0000-0200-000006000000}" name="Net WIP"/>
    <tableColumn id="7" xr3:uid="{00000000-0010-0000-0200-000007000000}" name="% of Total WIP"/>
    <tableColumn id="8" xr3:uid="{00000000-0010-0000-02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liveryLogTable" displayName="DeliveryLogTable" ref="A1:K500">
  <tableColumns count="11">
    <tableColumn id="1" xr3:uid="{00000000-0010-0000-0300-000001000000}" name="Delivery Date"/>
    <tableColumn id="2" xr3:uid="{00000000-0010-0000-0300-000002000000}" name="Order ID"/>
    <tableColumn id="3" xr3:uid="{00000000-0010-0000-0300-000003000000}" name="Customer"/>
    <tableColumn id="4" xr3:uid="{00000000-0010-0000-0300-000004000000}" name="Style No"/>
    <tableColumn id="5" xr3:uid="{00000000-0010-0000-0300-000005000000}" name="Delivered Qty"/>
    <tableColumn id="6" xr3:uid="{00000000-0010-0000-0300-000006000000}" name="Cartons"/>
    <tableColumn id="7" xr3:uid="{00000000-0010-0000-0300-000007000000}" name="Carrier / Truck"/>
    <tableColumn id="8" xr3:uid="{00000000-0010-0000-0300-000008000000}" name="POD / Tracking"/>
    <tableColumn id="9" xr3:uid="{00000000-0010-0000-0300-000009000000}" name="Customer Acceptance"/>
    <tableColumn id="10" xr3:uid="{00000000-0010-0000-0300-00000A000000}" name="Invoice / Ref"/>
    <tableColumn id="11" xr3:uid="{00000000-0010-0000-0300-00000B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L21" workbookViewId="0"/>
  </sheetViews>
  <sheetFormatPr defaultColWidth="8.875" defaultRowHeight="14.1"/>
  <cols>
    <col min="1" max="1" width="34" customWidth="1"/>
    <col min="2" max="4" width="12" customWidth="1"/>
    <col min="5" max="5" width="14" customWidth="1"/>
    <col min="6" max="7" width="12" customWidth="1"/>
    <col min="8" max="8" width="4" customWidth="1"/>
    <col min="9" max="9" width="18" customWidth="1"/>
    <col min="10" max="10" width="30" customWidth="1"/>
    <col min="11" max="11" width="16" customWidth="1"/>
    <col min="12" max="12" width="20" customWidth="1"/>
    <col min="13" max="13" width="16" customWidth="1"/>
    <col min="14" max="14" width="26" customWidth="1"/>
  </cols>
  <sheetData>
    <row r="1" spans="1:14" ht="37.3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ht="37.3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0" t="s">
        <v>9</v>
      </c>
      <c r="J3" s="11"/>
      <c r="K3" s="13"/>
      <c r="L3" s="13"/>
      <c r="M3" s="13"/>
      <c r="N3" s="13"/>
    </row>
    <row r="4" spans="1:14" ht="37.35" customHeight="1">
      <c r="A4" s="7">
        <f>COUNTIFS(Orders!$A$2:$A$500,"&lt;&gt;",Orders!$Q$2:$Q$500,"Open")</f>
        <v>0</v>
      </c>
      <c r="B4" s="7">
        <f>COUNTIFS(Orders!$A$2:$A$500,"&lt;&gt;",Orders!$Q$2:$Q$500,"&lt;&gt;Delivered",Orders!$Q$2:$Q$500,"&lt;&gt;")</f>
        <v>0</v>
      </c>
      <c r="C4" s="7">
        <f>COUNTIFS(Orders!$A$2:$A$500,"&lt;&gt;",Orders!$Q$2:$Q$500,"Delivered")</f>
        <v>0</v>
      </c>
      <c r="D4" s="7">
        <f>SUM(Orders!$G$2:$G$500)</f>
        <v>0</v>
      </c>
      <c r="E4" s="7">
        <f>SUM(Orders!$O$2:$O$500)</f>
        <v>0</v>
      </c>
      <c r="F4" s="7">
        <f>SUM('Stage Summary'!$F$4:$F$16)</f>
        <v>0</v>
      </c>
      <c r="G4" s="7">
        <f>SUM(WIPLog!$J$2:$J$1000)</f>
        <v>0</v>
      </c>
      <c r="H4" s="7">
        <f>SUM(WIPLog!$K$2:$K$1000)</f>
        <v>0</v>
      </c>
      <c r="I4" s="12" t="s">
        <v>10</v>
      </c>
      <c r="J4" s="13"/>
      <c r="K4" s="13"/>
      <c r="L4" s="13"/>
      <c r="M4" s="13"/>
      <c r="N4" s="13"/>
    </row>
    <row r="5" spans="1:14">
      <c r="I5" s="13"/>
      <c r="J5" s="13"/>
      <c r="K5" s="13"/>
      <c r="L5" s="13"/>
      <c r="M5" s="13"/>
      <c r="N5" s="13"/>
    </row>
    <row r="7" spans="1:14" ht="15">
      <c r="A7" s="10" t="s">
        <v>11</v>
      </c>
      <c r="B7" s="13"/>
      <c r="C7" s="13"/>
      <c r="D7" s="11"/>
      <c r="E7" s="13"/>
      <c r="F7" s="13"/>
      <c r="G7" s="11"/>
      <c r="I7" s="10" t="s">
        <v>12</v>
      </c>
      <c r="J7" s="11"/>
      <c r="K7" s="13"/>
      <c r="L7" s="13"/>
      <c r="M7" s="13"/>
      <c r="N7" s="13"/>
    </row>
    <row r="8" spans="1:14" ht="15.95">
      <c r="A8" s="1" t="s">
        <v>13</v>
      </c>
      <c r="B8" s="1" t="s">
        <v>14</v>
      </c>
      <c r="C8" s="1" t="s">
        <v>15</v>
      </c>
      <c r="D8" s="1" t="s">
        <v>16</v>
      </c>
      <c r="E8" s="1" t="s">
        <v>6</v>
      </c>
      <c r="F8" s="1" t="s">
        <v>17</v>
      </c>
      <c r="G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</row>
    <row r="9" spans="1:14">
      <c r="A9" t="str">
        <f>'Stage Summary'!$A4</f>
        <v>Customer Order Intake</v>
      </c>
      <c r="B9" s="5">
        <f>'Stage Summary'!$B4</f>
        <v>0</v>
      </c>
      <c r="C9" s="5">
        <f>'Stage Summary'!$C4</f>
        <v>0</v>
      </c>
      <c r="D9" s="5">
        <f>'Stage Summary'!$E4</f>
        <v>0</v>
      </c>
      <c r="E9" s="5">
        <f>'Stage Summary'!$F4</f>
        <v>0</v>
      </c>
      <c r="F9" s="6">
        <f>'Stage Summary'!$G4</f>
        <v>0</v>
      </c>
      <c r="G9" t="str">
        <f t="shared" ref="G9:G21" si="0">IF(E9=0,"Clear","WIP")</f>
        <v>Clear</v>
      </c>
      <c r="I9" t="s">
        <v>25</v>
      </c>
      <c r="J9" t="s">
        <v>26</v>
      </c>
      <c r="K9" t="s">
        <v>25</v>
      </c>
      <c r="L9" t="s">
        <v>27</v>
      </c>
      <c r="M9" t="s">
        <v>28</v>
      </c>
      <c r="N9" t="s">
        <v>29</v>
      </c>
    </row>
    <row r="10" spans="1:14">
      <c r="A10" t="str">
        <f>'Stage Summary'!$A5</f>
        <v>Raw Material Receiving</v>
      </c>
      <c r="B10" s="5">
        <f>'Stage Summary'!$B5</f>
        <v>0</v>
      </c>
      <c r="C10" s="5">
        <f>'Stage Summary'!$C5</f>
        <v>0</v>
      </c>
      <c r="D10" s="5">
        <f>'Stage Summary'!$E5</f>
        <v>0</v>
      </c>
      <c r="E10" s="5">
        <f>'Stage Summary'!$F5</f>
        <v>0</v>
      </c>
      <c r="F10" s="6">
        <f>'Stage Summary'!$G5</f>
        <v>0</v>
      </c>
      <c r="G10" t="str">
        <f t="shared" si="0"/>
        <v>Clear</v>
      </c>
      <c r="I10" t="s">
        <v>30</v>
      </c>
      <c r="J10" t="s">
        <v>31</v>
      </c>
      <c r="K10" t="s">
        <v>32</v>
      </c>
      <c r="L10" t="s">
        <v>33</v>
      </c>
      <c r="M10" t="s">
        <v>34</v>
      </c>
      <c r="N10" t="s">
        <v>35</v>
      </c>
    </row>
    <row r="11" spans="1:14">
      <c r="A11" t="str">
        <f>'Stage Summary'!$A6</f>
        <v>Fabric &amp; Trim Inspection</v>
      </c>
      <c r="B11" s="5">
        <f>'Stage Summary'!$B6</f>
        <v>0</v>
      </c>
      <c r="C11" s="5">
        <f>'Stage Summary'!$C6</f>
        <v>0</v>
      </c>
      <c r="D11" s="5">
        <f>'Stage Summary'!$E6</f>
        <v>0</v>
      </c>
      <c r="E11" s="5">
        <f>'Stage Summary'!$F6</f>
        <v>0</v>
      </c>
      <c r="F11" s="6">
        <f>'Stage Summary'!$G6</f>
        <v>0</v>
      </c>
      <c r="G11" t="str">
        <f t="shared" si="0"/>
        <v>Clear</v>
      </c>
      <c r="I11" t="s">
        <v>36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</row>
    <row r="12" spans="1:14">
      <c r="A12" t="str">
        <f>'Stage Summary'!$A7</f>
        <v>Pre-Production Planning</v>
      </c>
      <c r="B12" s="5">
        <f>'Stage Summary'!$B7</f>
        <v>0</v>
      </c>
      <c r="C12" s="5">
        <f>'Stage Summary'!$C7</f>
        <v>0</v>
      </c>
      <c r="D12" s="5">
        <f>'Stage Summary'!$E7</f>
        <v>0</v>
      </c>
      <c r="E12" s="5">
        <f>'Stage Summary'!$F7</f>
        <v>0</v>
      </c>
      <c r="F12" s="6">
        <f>'Stage Summary'!$G7</f>
        <v>0</v>
      </c>
      <c r="G12" t="str">
        <f t="shared" si="0"/>
        <v>Clear</v>
      </c>
      <c r="I12" t="s">
        <v>42</v>
      </c>
      <c r="J12" t="s">
        <v>43</v>
      </c>
      <c r="K12" t="s">
        <v>38</v>
      </c>
      <c r="L12" t="s">
        <v>44</v>
      </c>
      <c r="M12" t="s">
        <v>45</v>
      </c>
      <c r="N12" t="s">
        <v>46</v>
      </c>
    </row>
    <row r="13" spans="1:14">
      <c r="A13" t="str">
        <f>'Stage Summary'!$A8</f>
        <v>Pattern / Marker / Cutting</v>
      </c>
      <c r="B13" s="5">
        <f>'Stage Summary'!$B8</f>
        <v>0</v>
      </c>
      <c r="C13" s="5">
        <f>'Stage Summary'!$C8</f>
        <v>0</v>
      </c>
      <c r="D13" s="5">
        <f>'Stage Summary'!$E8</f>
        <v>0</v>
      </c>
      <c r="E13" s="5">
        <f>'Stage Summary'!$F8</f>
        <v>0</v>
      </c>
      <c r="F13" s="6">
        <f>'Stage Summary'!$G8</f>
        <v>0</v>
      </c>
      <c r="G13" t="str">
        <f t="shared" si="0"/>
        <v>Clear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  <c r="N13" t="s">
        <v>52</v>
      </c>
    </row>
    <row r="14" spans="1:14">
      <c r="A14" t="str">
        <f>'Stage Summary'!$A9</f>
        <v>Bundling &amp; Line Feeding</v>
      </c>
      <c r="B14" s="5">
        <f>'Stage Summary'!$B9</f>
        <v>0</v>
      </c>
      <c r="C14" s="5">
        <f>'Stage Summary'!$C9</f>
        <v>0</v>
      </c>
      <c r="D14" s="5">
        <f>'Stage Summary'!$E9</f>
        <v>0</v>
      </c>
      <c r="E14" s="5">
        <f>'Stage Summary'!$F9</f>
        <v>0</v>
      </c>
      <c r="F14" s="6">
        <f>'Stage Summary'!$G9</f>
        <v>0</v>
      </c>
      <c r="G14" t="str">
        <f t="shared" si="0"/>
        <v>Clear</v>
      </c>
    </row>
    <row r="15" spans="1:14">
      <c r="A15" t="str">
        <f>'Stage Summary'!$A10</f>
        <v>Sewing Production</v>
      </c>
      <c r="B15" s="5">
        <f>'Stage Summary'!$B10</f>
        <v>0</v>
      </c>
      <c r="C15" s="5">
        <f>'Stage Summary'!$C10</f>
        <v>0</v>
      </c>
      <c r="D15" s="5">
        <f>'Stage Summary'!$E10</f>
        <v>0</v>
      </c>
      <c r="E15" s="5">
        <f>'Stage Summary'!$F10</f>
        <v>0</v>
      </c>
      <c r="F15" s="6">
        <f>'Stage Summary'!$G10</f>
        <v>0</v>
      </c>
      <c r="G15" t="str">
        <f t="shared" si="0"/>
        <v>Clear</v>
      </c>
    </row>
    <row r="16" spans="1:14">
      <c r="A16" t="str">
        <f>'Stage Summary'!$A11</f>
        <v>Pre-Wash QC</v>
      </c>
      <c r="B16" s="5">
        <f>'Stage Summary'!$B11</f>
        <v>0</v>
      </c>
      <c r="C16" s="5">
        <f>'Stage Summary'!$C11</f>
        <v>0</v>
      </c>
      <c r="D16" s="5">
        <f>'Stage Summary'!$E11</f>
        <v>0</v>
      </c>
      <c r="E16" s="5">
        <f>'Stage Summary'!$F11</f>
        <v>0</v>
      </c>
      <c r="F16" s="6">
        <f>'Stage Summary'!$G11</f>
        <v>0</v>
      </c>
      <c r="G16" t="str">
        <f t="shared" si="0"/>
        <v>Clear</v>
      </c>
    </row>
    <row r="17" spans="1:7">
      <c r="A17" t="str">
        <f>'Stage Summary'!$A12</f>
        <v>Laundry / Wash / Dry</v>
      </c>
      <c r="B17" s="5">
        <f>'Stage Summary'!$B12</f>
        <v>0</v>
      </c>
      <c r="C17" s="5">
        <f>'Stage Summary'!$C12</f>
        <v>0</v>
      </c>
      <c r="D17" s="5">
        <f>'Stage Summary'!$E12</f>
        <v>0</v>
      </c>
      <c r="E17" s="5">
        <f>'Stage Summary'!$F12</f>
        <v>0</v>
      </c>
      <c r="F17" s="6">
        <f>'Stage Summary'!$G12</f>
        <v>0</v>
      </c>
      <c r="G17" t="str">
        <f t="shared" si="0"/>
        <v>Clear</v>
      </c>
    </row>
    <row r="18" spans="1:7">
      <c r="A18" t="str">
        <f>'Stage Summary'!$A13</f>
        <v>Laser / Ozone / Spray / 3D Finish</v>
      </c>
      <c r="B18" s="5">
        <f>'Stage Summary'!$B13</f>
        <v>0</v>
      </c>
      <c r="C18" s="5">
        <f>'Stage Summary'!$C13</f>
        <v>0</v>
      </c>
      <c r="D18" s="5">
        <f>'Stage Summary'!$E13</f>
        <v>0</v>
      </c>
      <c r="E18" s="5">
        <f>'Stage Summary'!$F13</f>
        <v>0</v>
      </c>
      <c r="F18" s="6">
        <f>'Stage Summary'!$G13</f>
        <v>0</v>
      </c>
      <c r="G18" t="str">
        <f t="shared" si="0"/>
        <v>Clear</v>
      </c>
    </row>
    <row r="19" spans="1:7">
      <c r="A19" t="str">
        <f>'Stage Summary'!$A14</f>
        <v>Final Quality Inspection</v>
      </c>
      <c r="B19" s="5">
        <f>'Stage Summary'!$B14</f>
        <v>0</v>
      </c>
      <c r="C19" s="5">
        <f>'Stage Summary'!$C14</f>
        <v>0</v>
      </c>
      <c r="D19" s="5">
        <f>'Stage Summary'!$E14</f>
        <v>0</v>
      </c>
      <c r="E19" s="5">
        <f>'Stage Summary'!$F14</f>
        <v>0</v>
      </c>
      <c r="F19" s="6">
        <f>'Stage Summary'!$G14</f>
        <v>0</v>
      </c>
      <c r="G19" t="str">
        <f t="shared" si="0"/>
        <v>Clear</v>
      </c>
    </row>
    <row r="20" spans="1:7">
      <c r="A20" t="str">
        <f>'Stage Summary'!$A15</f>
        <v>Pressing / Tagging / Packing</v>
      </c>
      <c r="B20" s="5">
        <f>'Stage Summary'!$B15</f>
        <v>0</v>
      </c>
      <c r="C20" s="5">
        <f>'Stage Summary'!$C15</f>
        <v>0</v>
      </c>
      <c r="D20" s="5">
        <f>'Stage Summary'!$E15</f>
        <v>0</v>
      </c>
      <c r="E20" s="5">
        <f>'Stage Summary'!$F15</f>
        <v>0</v>
      </c>
      <c r="F20" s="6">
        <f>'Stage Summary'!$G15</f>
        <v>0</v>
      </c>
      <c r="G20" t="str">
        <f t="shared" si="0"/>
        <v>Clear</v>
      </c>
    </row>
    <row r="21" spans="1:7">
      <c r="A21" t="str">
        <f>'Stage Summary'!$A16</f>
        <v>Finished Goods Dispatch</v>
      </c>
      <c r="B21" s="5">
        <f>'Stage Summary'!$B16</f>
        <v>0</v>
      </c>
      <c r="C21" s="5">
        <f>'Stage Summary'!$C16</f>
        <v>0</v>
      </c>
      <c r="D21" s="5">
        <f>'Stage Summary'!$E16</f>
        <v>0</v>
      </c>
      <c r="E21" s="5">
        <f>'Stage Summary'!$F16</f>
        <v>0</v>
      </c>
      <c r="F21" s="6">
        <f>'Stage Summary'!$G16</f>
        <v>0</v>
      </c>
      <c r="G21" t="str">
        <f t="shared" si="0"/>
        <v>Clear</v>
      </c>
    </row>
  </sheetData>
  <mergeCells count="5">
    <mergeCell ref="A1:N1"/>
    <mergeCell ref="A7:G7"/>
    <mergeCell ref="I7:N7"/>
    <mergeCell ref="I3:N3"/>
    <mergeCell ref="I4:N5"/>
  </mergeCells>
  <conditionalFormatting sqref="E9:E21">
    <cfRule type="dataBar" priority="4">
      <dataBar>
        <cfvo type="min"/>
        <cfvo type="max"/>
        <color rgb="FF1D4ED8"/>
      </dataBar>
    </cfRule>
    <cfRule type="dataBar" priority="7">
      <dataBar>
        <cfvo type="min"/>
        <cfvo type="max"/>
        <color rgb="FF1D4ED8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9:G21">
    <cfRule type="expression" dxfId="10" priority="5">
      <formula>G9="WIP"</formula>
    </cfRule>
    <cfRule type="expression" dxfId="9" priority="6">
      <formula>G9="Clear"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E9:E21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0"/>
  <sheetViews>
    <sheetView workbookViewId="0"/>
  </sheetViews>
  <sheetFormatPr defaultColWidth="8.875" defaultRowHeight="14.1"/>
  <cols>
    <col min="1" max="1" width="16" customWidth="1"/>
    <col min="2" max="2" width="20" customWidth="1"/>
    <col min="3" max="4" width="16" customWidth="1"/>
    <col min="5" max="5" width="28" customWidth="1"/>
    <col min="6" max="6" width="14" customWidth="1"/>
    <col min="7" max="7" width="12" customWidth="1"/>
    <col min="8" max="8" width="14" customWidth="1"/>
    <col min="9" max="10" width="16" customWidth="1"/>
    <col min="11" max="11" width="26" customWidth="1"/>
    <col min="12" max="13" width="14" customWidth="1"/>
    <col min="14" max="14" width="12" customWidth="1"/>
    <col min="15" max="16" width="14" customWidth="1"/>
    <col min="17" max="17" width="16" customWidth="1"/>
    <col min="18" max="18" width="28" customWidth="1"/>
  </cols>
  <sheetData>
    <row r="1" spans="1:18" ht="37.35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8</v>
      </c>
      <c r="O1" s="1" t="s">
        <v>5</v>
      </c>
      <c r="P1" s="1" t="s">
        <v>66</v>
      </c>
      <c r="Q1" s="1" t="s">
        <v>67</v>
      </c>
      <c r="R1" s="1" t="s">
        <v>24</v>
      </c>
    </row>
    <row r="2" spans="1:18">
      <c r="G2" s="5"/>
      <c r="H2" s="4"/>
      <c r="I2" s="4"/>
      <c r="K2" t="str">
        <f>IF($A2="","",IF($O2&gt;=$G2,"Delivered",IFERROR(LOOKUP(2,1/(WIPLog!$C$2:$C$1000=$A2),WIPLog!$F$2:$F$1000),"Not Started")))</f>
        <v/>
      </c>
      <c r="L2" s="5" t="str">
        <f>IF($A2="","",SUMIFS(WIPLog!$H:$H,WIPLog!$C:$C,$A2))</f>
        <v/>
      </c>
      <c r="M2" s="5" t="str">
        <f>IF($A2="","",SUMIFS(WIPLog!$I:$I,WIPLog!$C:$C,$A2))</f>
        <v/>
      </c>
      <c r="N2" s="5" t="str">
        <f>IF($A2="","",SUMIFS(WIPLog!$K:$K,WIPLog!$C:$C,$A2))</f>
        <v/>
      </c>
      <c r="O2" s="5" t="str">
        <f>IF($A2="","",SUMIFS('Delivery Log'!$E:$E,'Delivery Log'!$B:$B,$A2))</f>
        <v/>
      </c>
      <c r="P2" s="5" t="str">
        <f t="shared" ref="P2:P65" si="0">IF($A2="","",MAX(0,$G2-$O2-$N2))</f>
        <v/>
      </c>
      <c r="Q2" t="str">
        <f t="shared" ref="Q2:Q65" si="1">IF($A2="","",IF($O2&gt;=$G2,"Delivered",IF($O2&gt;0,"Partial",IF($P2=0,"Closed","Open"))))</f>
        <v/>
      </c>
    </row>
    <row r="3" spans="1:18">
      <c r="G3" s="5"/>
      <c r="H3" s="4"/>
      <c r="I3" s="4"/>
      <c r="K3" t="str">
        <f>IF($A3="","",IF($O3&gt;=$G3,"Delivered",IFERROR(LOOKUP(2,1/(WIPLog!$C$2:$C$1000=$A3),WIPLog!$F$2:$F$1000),"Not Started")))</f>
        <v/>
      </c>
      <c r="L3" s="5" t="str">
        <f>IF($A3="","",SUMIFS(WIPLog!$H:$H,WIPLog!$C:$C,$A3))</f>
        <v/>
      </c>
      <c r="M3" s="5" t="str">
        <f>IF($A3="","",SUMIFS(WIPLog!$I:$I,WIPLog!$C:$C,$A3))</f>
        <v/>
      </c>
      <c r="N3" s="5" t="str">
        <f>IF($A3="","",SUMIFS(WIPLog!$K:$K,WIPLog!$C:$C,$A3))</f>
        <v/>
      </c>
      <c r="O3" s="5" t="str">
        <f>IF($A3="","",SUMIFS('Delivery Log'!$E:$E,'Delivery Log'!$B:$B,$A3))</f>
        <v/>
      </c>
      <c r="P3" s="5" t="str">
        <f t="shared" si="0"/>
        <v/>
      </c>
      <c r="Q3" t="str">
        <f t="shared" si="1"/>
        <v/>
      </c>
    </row>
    <row r="4" spans="1:18">
      <c r="G4" s="5"/>
      <c r="H4" s="4"/>
      <c r="I4" s="4"/>
      <c r="K4" t="str">
        <f>IF($A4="","",IF($O4&gt;=$G4,"Delivered",IFERROR(LOOKUP(2,1/(WIPLog!$C$2:$C$1000=$A4),WIPLog!$F$2:$F$1000),"Not Started")))</f>
        <v/>
      </c>
      <c r="L4" s="5" t="str">
        <f>IF($A4="","",SUMIFS(WIPLog!$H:$H,WIPLog!$C:$C,$A4))</f>
        <v/>
      </c>
      <c r="M4" s="5" t="str">
        <f>IF($A4="","",SUMIFS(WIPLog!$I:$I,WIPLog!$C:$C,$A4))</f>
        <v/>
      </c>
      <c r="N4" s="5" t="str">
        <f>IF($A4="","",SUMIFS(WIPLog!$K:$K,WIPLog!$C:$C,$A4))</f>
        <v/>
      </c>
      <c r="O4" s="5" t="str">
        <f>IF($A4="","",SUMIFS('Delivery Log'!$E:$E,'Delivery Log'!$B:$B,$A4))</f>
        <v/>
      </c>
      <c r="P4" s="5" t="str">
        <f t="shared" si="0"/>
        <v/>
      </c>
      <c r="Q4" t="str">
        <f t="shared" si="1"/>
        <v/>
      </c>
    </row>
    <row r="5" spans="1:18">
      <c r="G5" s="5"/>
      <c r="H5" s="4"/>
      <c r="I5" s="4"/>
      <c r="K5" t="str">
        <f>IF($A5="","",IF($O5&gt;=$G5,"Delivered",IFERROR(LOOKUP(2,1/(WIPLog!$C$2:$C$1000=$A5),WIPLog!$F$2:$F$1000),"Not Started")))</f>
        <v/>
      </c>
      <c r="L5" s="5" t="str">
        <f>IF($A5="","",SUMIFS(WIPLog!$H:$H,WIPLog!$C:$C,$A5))</f>
        <v/>
      </c>
      <c r="M5" s="5" t="str">
        <f>IF($A5="","",SUMIFS(WIPLog!$I:$I,WIPLog!$C:$C,$A5))</f>
        <v/>
      </c>
      <c r="N5" s="5" t="str">
        <f>IF($A5="","",SUMIFS(WIPLog!$K:$K,WIPLog!$C:$C,$A5))</f>
        <v/>
      </c>
      <c r="O5" s="5" t="str">
        <f>IF($A5="","",SUMIFS('Delivery Log'!$E:$E,'Delivery Log'!$B:$B,$A5))</f>
        <v/>
      </c>
      <c r="P5" s="5" t="str">
        <f t="shared" si="0"/>
        <v/>
      </c>
      <c r="Q5" t="str">
        <f t="shared" si="1"/>
        <v/>
      </c>
    </row>
    <row r="6" spans="1:18">
      <c r="G6" s="5"/>
      <c r="H6" s="4"/>
      <c r="I6" s="4"/>
      <c r="K6" t="str">
        <f>IF($A6="","",IF($O6&gt;=$G6,"Delivered",IFERROR(LOOKUP(2,1/(WIPLog!$C$2:$C$1000=$A6),WIPLog!$F$2:$F$1000),"Not Started")))</f>
        <v/>
      </c>
      <c r="L6" s="5" t="str">
        <f>IF($A6="","",SUMIFS(WIPLog!$H:$H,WIPLog!$C:$C,$A6))</f>
        <v/>
      </c>
      <c r="M6" s="5" t="str">
        <f>IF($A6="","",SUMIFS(WIPLog!$I:$I,WIPLog!$C:$C,$A6))</f>
        <v/>
      </c>
      <c r="N6" s="5" t="str">
        <f>IF($A6="","",SUMIFS(WIPLog!$K:$K,WIPLog!$C:$C,$A6))</f>
        <v/>
      </c>
      <c r="O6" s="5" t="str">
        <f>IF($A6="","",SUMIFS('Delivery Log'!$E:$E,'Delivery Log'!$B:$B,$A6))</f>
        <v/>
      </c>
      <c r="P6" s="5" t="str">
        <f t="shared" si="0"/>
        <v/>
      </c>
      <c r="Q6" t="str">
        <f t="shared" si="1"/>
        <v/>
      </c>
    </row>
    <row r="7" spans="1:18">
      <c r="G7" s="5"/>
      <c r="H7" s="4"/>
      <c r="I7" s="4"/>
      <c r="K7" t="str">
        <f>IF($A7="","",IF($O7&gt;=$G7,"Delivered",IFERROR(LOOKUP(2,1/(WIPLog!$C$2:$C$1000=$A7),WIPLog!$F$2:$F$1000),"Not Started")))</f>
        <v/>
      </c>
      <c r="L7" s="5" t="str">
        <f>IF($A7="","",SUMIFS(WIPLog!$H:$H,WIPLog!$C:$C,$A7))</f>
        <v/>
      </c>
      <c r="M7" s="5" t="str">
        <f>IF($A7="","",SUMIFS(WIPLog!$I:$I,WIPLog!$C:$C,$A7))</f>
        <v/>
      </c>
      <c r="N7" s="5" t="str">
        <f>IF($A7="","",SUMIFS(WIPLog!$K:$K,WIPLog!$C:$C,$A7))</f>
        <v/>
      </c>
      <c r="O7" s="5" t="str">
        <f>IF($A7="","",SUMIFS('Delivery Log'!$E:$E,'Delivery Log'!$B:$B,$A7))</f>
        <v/>
      </c>
      <c r="P7" s="5" t="str">
        <f t="shared" si="0"/>
        <v/>
      </c>
      <c r="Q7" t="str">
        <f t="shared" si="1"/>
        <v/>
      </c>
    </row>
    <row r="8" spans="1:18">
      <c r="G8" s="5"/>
      <c r="H8" s="4"/>
      <c r="I8" s="4"/>
      <c r="K8" t="str">
        <f>IF($A8="","",IF($O8&gt;=$G8,"Delivered",IFERROR(LOOKUP(2,1/(WIPLog!$C$2:$C$1000=$A8),WIPLog!$F$2:$F$1000),"Not Started")))</f>
        <v/>
      </c>
      <c r="L8" s="5" t="str">
        <f>IF($A8="","",SUMIFS(WIPLog!$H:$H,WIPLog!$C:$C,$A8))</f>
        <v/>
      </c>
      <c r="M8" s="5" t="str">
        <f>IF($A8="","",SUMIFS(WIPLog!$I:$I,WIPLog!$C:$C,$A8))</f>
        <v/>
      </c>
      <c r="N8" s="5" t="str">
        <f>IF($A8="","",SUMIFS(WIPLog!$K:$K,WIPLog!$C:$C,$A8))</f>
        <v/>
      </c>
      <c r="O8" s="5" t="str">
        <f>IF($A8="","",SUMIFS('Delivery Log'!$E:$E,'Delivery Log'!$B:$B,$A8))</f>
        <v/>
      </c>
      <c r="P8" s="5" t="str">
        <f t="shared" si="0"/>
        <v/>
      </c>
      <c r="Q8" t="str">
        <f t="shared" si="1"/>
        <v/>
      </c>
    </row>
    <row r="9" spans="1:18">
      <c r="G9" s="5"/>
      <c r="H9" s="4"/>
      <c r="I9" s="4"/>
      <c r="K9" t="str">
        <f>IF($A9="","",IF($O9&gt;=$G9,"Delivered",IFERROR(LOOKUP(2,1/(WIPLog!$C$2:$C$1000=$A9),WIPLog!$F$2:$F$1000),"Not Started")))</f>
        <v/>
      </c>
      <c r="L9" s="5" t="str">
        <f>IF($A9="","",SUMIFS(WIPLog!$H:$H,WIPLog!$C:$C,$A9))</f>
        <v/>
      </c>
      <c r="M9" s="5" t="str">
        <f>IF($A9="","",SUMIFS(WIPLog!$I:$I,WIPLog!$C:$C,$A9))</f>
        <v/>
      </c>
      <c r="N9" s="5" t="str">
        <f>IF($A9="","",SUMIFS(WIPLog!$K:$K,WIPLog!$C:$C,$A9))</f>
        <v/>
      </c>
      <c r="O9" s="5" t="str">
        <f>IF($A9="","",SUMIFS('Delivery Log'!$E:$E,'Delivery Log'!$B:$B,$A9))</f>
        <v/>
      </c>
      <c r="P9" s="5" t="str">
        <f t="shared" si="0"/>
        <v/>
      </c>
      <c r="Q9" t="str">
        <f t="shared" si="1"/>
        <v/>
      </c>
    </row>
    <row r="10" spans="1:18">
      <c r="G10" s="5"/>
      <c r="H10" s="4"/>
      <c r="I10" s="4"/>
      <c r="K10" t="str">
        <f>IF($A10="","",IF($O10&gt;=$G10,"Delivered",IFERROR(LOOKUP(2,1/(WIPLog!$C$2:$C$1000=$A10),WIPLog!$F$2:$F$1000),"Not Started")))</f>
        <v/>
      </c>
      <c r="L10" s="5" t="str">
        <f>IF($A10="","",SUMIFS(WIPLog!$H:$H,WIPLog!$C:$C,$A10))</f>
        <v/>
      </c>
      <c r="M10" s="5" t="str">
        <f>IF($A10="","",SUMIFS(WIPLog!$I:$I,WIPLog!$C:$C,$A10))</f>
        <v/>
      </c>
      <c r="N10" s="5" t="str">
        <f>IF($A10="","",SUMIFS(WIPLog!$K:$K,WIPLog!$C:$C,$A10))</f>
        <v/>
      </c>
      <c r="O10" s="5" t="str">
        <f>IF($A10="","",SUMIFS('Delivery Log'!$E:$E,'Delivery Log'!$B:$B,$A10))</f>
        <v/>
      </c>
      <c r="P10" s="5" t="str">
        <f t="shared" si="0"/>
        <v/>
      </c>
      <c r="Q10" t="str">
        <f t="shared" si="1"/>
        <v/>
      </c>
    </row>
    <row r="11" spans="1:18">
      <c r="G11" s="5"/>
      <c r="H11" s="4"/>
      <c r="I11" s="4"/>
      <c r="K11" t="str">
        <f>IF($A11="","",IF($O11&gt;=$G11,"Delivered",IFERROR(LOOKUP(2,1/(WIPLog!$C$2:$C$1000=$A11),WIPLog!$F$2:$F$1000),"Not Started")))</f>
        <v/>
      </c>
      <c r="L11" s="5" t="str">
        <f>IF($A11="","",SUMIFS(WIPLog!$H:$H,WIPLog!$C:$C,$A11))</f>
        <v/>
      </c>
      <c r="M11" s="5" t="str">
        <f>IF($A11="","",SUMIFS(WIPLog!$I:$I,WIPLog!$C:$C,$A11))</f>
        <v/>
      </c>
      <c r="N11" s="5" t="str">
        <f>IF($A11="","",SUMIFS(WIPLog!$K:$K,WIPLog!$C:$C,$A11))</f>
        <v/>
      </c>
      <c r="O11" s="5" t="str">
        <f>IF($A11="","",SUMIFS('Delivery Log'!$E:$E,'Delivery Log'!$B:$B,$A11))</f>
        <v/>
      </c>
      <c r="P11" s="5" t="str">
        <f t="shared" si="0"/>
        <v/>
      </c>
      <c r="Q11" t="str">
        <f t="shared" si="1"/>
        <v/>
      </c>
    </row>
    <row r="12" spans="1:18">
      <c r="G12" s="5"/>
      <c r="H12" s="4"/>
      <c r="I12" s="4"/>
      <c r="K12" t="str">
        <f>IF($A12="","",IF($O12&gt;=$G12,"Delivered",IFERROR(LOOKUP(2,1/(WIPLog!$C$2:$C$1000=$A12),WIPLog!$F$2:$F$1000),"Not Started")))</f>
        <v/>
      </c>
      <c r="L12" s="5" t="str">
        <f>IF($A12="","",SUMIFS(WIPLog!$H:$H,WIPLog!$C:$C,$A12))</f>
        <v/>
      </c>
      <c r="M12" s="5" t="str">
        <f>IF($A12="","",SUMIFS(WIPLog!$I:$I,WIPLog!$C:$C,$A12))</f>
        <v/>
      </c>
      <c r="N12" s="5" t="str">
        <f>IF($A12="","",SUMIFS(WIPLog!$K:$K,WIPLog!$C:$C,$A12))</f>
        <v/>
      </c>
      <c r="O12" s="5" t="str">
        <f>IF($A12="","",SUMIFS('Delivery Log'!$E:$E,'Delivery Log'!$B:$B,$A12))</f>
        <v/>
      </c>
      <c r="P12" s="5" t="str">
        <f t="shared" si="0"/>
        <v/>
      </c>
      <c r="Q12" t="str">
        <f t="shared" si="1"/>
        <v/>
      </c>
    </row>
    <row r="13" spans="1:18">
      <c r="G13" s="5"/>
      <c r="H13" s="4"/>
      <c r="I13" s="4"/>
      <c r="K13" t="str">
        <f>IF($A13="","",IF($O13&gt;=$G13,"Delivered",IFERROR(LOOKUP(2,1/(WIPLog!$C$2:$C$1000=$A13),WIPLog!$F$2:$F$1000),"Not Started")))</f>
        <v/>
      </c>
      <c r="L13" s="5" t="str">
        <f>IF($A13="","",SUMIFS(WIPLog!$H:$H,WIPLog!$C:$C,$A13))</f>
        <v/>
      </c>
      <c r="M13" s="5" t="str">
        <f>IF($A13="","",SUMIFS(WIPLog!$I:$I,WIPLog!$C:$C,$A13))</f>
        <v/>
      </c>
      <c r="N13" s="5" t="str">
        <f>IF($A13="","",SUMIFS(WIPLog!$K:$K,WIPLog!$C:$C,$A13))</f>
        <v/>
      </c>
      <c r="O13" s="5" t="str">
        <f>IF($A13="","",SUMIFS('Delivery Log'!$E:$E,'Delivery Log'!$B:$B,$A13))</f>
        <v/>
      </c>
      <c r="P13" s="5" t="str">
        <f t="shared" si="0"/>
        <v/>
      </c>
      <c r="Q13" t="str">
        <f t="shared" si="1"/>
        <v/>
      </c>
    </row>
    <row r="14" spans="1:18">
      <c r="G14" s="5"/>
      <c r="H14" s="4"/>
      <c r="I14" s="4"/>
      <c r="K14" t="str">
        <f>IF($A14="","",IF($O14&gt;=$G14,"Delivered",IFERROR(LOOKUP(2,1/(WIPLog!$C$2:$C$1000=$A14),WIPLog!$F$2:$F$1000),"Not Started")))</f>
        <v/>
      </c>
      <c r="L14" s="5" t="str">
        <f>IF($A14="","",SUMIFS(WIPLog!$H:$H,WIPLog!$C:$C,$A14))</f>
        <v/>
      </c>
      <c r="M14" s="5" t="str">
        <f>IF($A14="","",SUMIFS(WIPLog!$I:$I,WIPLog!$C:$C,$A14))</f>
        <v/>
      </c>
      <c r="N14" s="5" t="str">
        <f>IF($A14="","",SUMIFS(WIPLog!$K:$K,WIPLog!$C:$C,$A14))</f>
        <v/>
      </c>
      <c r="O14" s="5" t="str">
        <f>IF($A14="","",SUMIFS('Delivery Log'!$E:$E,'Delivery Log'!$B:$B,$A14))</f>
        <v/>
      </c>
      <c r="P14" s="5" t="str">
        <f t="shared" si="0"/>
        <v/>
      </c>
      <c r="Q14" t="str">
        <f t="shared" si="1"/>
        <v/>
      </c>
    </row>
    <row r="15" spans="1:18">
      <c r="G15" s="5"/>
      <c r="H15" s="4"/>
      <c r="I15" s="4"/>
      <c r="K15" t="str">
        <f>IF($A15="","",IF($O15&gt;=$G15,"Delivered",IFERROR(LOOKUP(2,1/(WIPLog!$C$2:$C$1000=$A15),WIPLog!$F$2:$F$1000),"Not Started")))</f>
        <v/>
      </c>
      <c r="L15" s="5" t="str">
        <f>IF($A15="","",SUMIFS(WIPLog!$H:$H,WIPLog!$C:$C,$A15))</f>
        <v/>
      </c>
      <c r="M15" s="5" t="str">
        <f>IF($A15="","",SUMIFS(WIPLog!$I:$I,WIPLog!$C:$C,$A15))</f>
        <v/>
      </c>
      <c r="N15" s="5" t="str">
        <f>IF($A15="","",SUMIFS(WIPLog!$K:$K,WIPLog!$C:$C,$A15))</f>
        <v/>
      </c>
      <c r="O15" s="5" t="str">
        <f>IF($A15="","",SUMIFS('Delivery Log'!$E:$E,'Delivery Log'!$B:$B,$A15))</f>
        <v/>
      </c>
      <c r="P15" s="5" t="str">
        <f t="shared" si="0"/>
        <v/>
      </c>
      <c r="Q15" t="str">
        <f t="shared" si="1"/>
        <v/>
      </c>
    </row>
    <row r="16" spans="1:18">
      <c r="G16" s="5"/>
      <c r="H16" s="4"/>
      <c r="I16" s="4"/>
      <c r="K16" t="str">
        <f>IF($A16="","",IF($O16&gt;=$G16,"Delivered",IFERROR(LOOKUP(2,1/(WIPLog!$C$2:$C$1000=$A16),WIPLog!$F$2:$F$1000),"Not Started")))</f>
        <v/>
      </c>
      <c r="L16" s="5" t="str">
        <f>IF($A16="","",SUMIFS(WIPLog!$H:$H,WIPLog!$C:$C,$A16))</f>
        <v/>
      </c>
      <c r="M16" s="5" t="str">
        <f>IF($A16="","",SUMIFS(WIPLog!$I:$I,WIPLog!$C:$C,$A16))</f>
        <v/>
      </c>
      <c r="N16" s="5" t="str">
        <f>IF($A16="","",SUMIFS(WIPLog!$K:$K,WIPLog!$C:$C,$A16))</f>
        <v/>
      </c>
      <c r="O16" s="5" t="str">
        <f>IF($A16="","",SUMIFS('Delivery Log'!$E:$E,'Delivery Log'!$B:$B,$A16))</f>
        <v/>
      </c>
      <c r="P16" s="5" t="str">
        <f t="shared" si="0"/>
        <v/>
      </c>
      <c r="Q16" t="str">
        <f t="shared" si="1"/>
        <v/>
      </c>
    </row>
    <row r="17" spans="7:17">
      <c r="G17" s="5"/>
      <c r="H17" s="4"/>
      <c r="I17" s="4"/>
      <c r="K17" t="str">
        <f>IF($A17="","",IF($O17&gt;=$G17,"Delivered",IFERROR(LOOKUP(2,1/(WIPLog!$C$2:$C$1000=$A17),WIPLog!$F$2:$F$1000),"Not Started")))</f>
        <v/>
      </c>
      <c r="L17" s="5" t="str">
        <f>IF($A17="","",SUMIFS(WIPLog!$H:$H,WIPLog!$C:$C,$A17))</f>
        <v/>
      </c>
      <c r="M17" s="5" t="str">
        <f>IF($A17="","",SUMIFS(WIPLog!$I:$I,WIPLog!$C:$C,$A17))</f>
        <v/>
      </c>
      <c r="N17" s="5" t="str">
        <f>IF($A17="","",SUMIFS(WIPLog!$K:$K,WIPLog!$C:$C,$A17))</f>
        <v/>
      </c>
      <c r="O17" s="5" t="str">
        <f>IF($A17="","",SUMIFS('Delivery Log'!$E:$E,'Delivery Log'!$B:$B,$A17))</f>
        <v/>
      </c>
      <c r="P17" s="5" t="str">
        <f t="shared" si="0"/>
        <v/>
      </c>
      <c r="Q17" t="str">
        <f t="shared" si="1"/>
        <v/>
      </c>
    </row>
    <row r="18" spans="7:17">
      <c r="G18" s="5"/>
      <c r="H18" s="4"/>
      <c r="I18" s="4"/>
      <c r="K18" t="str">
        <f>IF($A18="","",IF($O18&gt;=$G18,"Delivered",IFERROR(LOOKUP(2,1/(WIPLog!$C$2:$C$1000=$A18),WIPLog!$F$2:$F$1000),"Not Started")))</f>
        <v/>
      </c>
      <c r="L18" s="5" t="str">
        <f>IF($A18="","",SUMIFS(WIPLog!$H:$H,WIPLog!$C:$C,$A18))</f>
        <v/>
      </c>
      <c r="M18" s="5" t="str">
        <f>IF($A18="","",SUMIFS(WIPLog!$I:$I,WIPLog!$C:$C,$A18))</f>
        <v/>
      </c>
      <c r="N18" s="5" t="str">
        <f>IF($A18="","",SUMIFS(WIPLog!$K:$K,WIPLog!$C:$C,$A18))</f>
        <v/>
      </c>
      <c r="O18" s="5" t="str">
        <f>IF($A18="","",SUMIFS('Delivery Log'!$E:$E,'Delivery Log'!$B:$B,$A18))</f>
        <v/>
      </c>
      <c r="P18" s="5" t="str">
        <f t="shared" si="0"/>
        <v/>
      </c>
      <c r="Q18" t="str">
        <f t="shared" si="1"/>
        <v/>
      </c>
    </row>
    <row r="19" spans="7:17">
      <c r="G19" s="5"/>
      <c r="H19" s="4"/>
      <c r="I19" s="4"/>
      <c r="K19" t="str">
        <f>IF($A19="","",IF($O19&gt;=$G19,"Delivered",IFERROR(LOOKUP(2,1/(WIPLog!$C$2:$C$1000=$A19),WIPLog!$F$2:$F$1000),"Not Started")))</f>
        <v/>
      </c>
      <c r="L19" s="5" t="str">
        <f>IF($A19="","",SUMIFS(WIPLog!$H:$H,WIPLog!$C:$C,$A19))</f>
        <v/>
      </c>
      <c r="M19" s="5" t="str">
        <f>IF($A19="","",SUMIFS(WIPLog!$I:$I,WIPLog!$C:$C,$A19))</f>
        <v/>
      </c>
      <c r="N19" s="5" t="str">
        <f>IF($A19="","",SUMIFS(WIPLog!$K:$K,WIPLog!$C:$C,$A19))</f>
        <v/>
      </c>
      <c r="O19" s="5" t="str">
        <f>IF($A19="","",SUMIFS('Delivery Log'!$E:$E,'Delivery Log'!$B:$B,$A19))</f>
        <v/>
      </c>
      <c r="P19" s="5" t="str">
        <f t="shared" si="0"/>
        <v/>
      </c>
      <c r="Q19" t="str">
        <f t="shared" si="1"/>
        <v/>
      </c>
    </row>
    <row r="20" spans="7:17">
      <c r="G20" s="5"/>
      <c r="H20" s="4"/>
      <c r="I20" s="4"/>
      <c r="K20" t="str">
        <f>IF($A20="","",IF($O20&gt;=$G20,"Delivered",IFERROR(LOOKUP(2,1/(WIPLog!$C$2:$C$1000=$A20),WIPLog!$F$2:$F$1000),"Not Started")))</f>
        <v/>
      </c>
      <c r="L20" s="5" t="str">
        <f>IF($A20="","",SUMIFS(WIPLog!$H:$H,WIPLog!$C:$C,$A20))</f>
        <v/>
      </c>
      <c r="M20" s="5" t="str">
        <f>IF($A20="","",SUMIFS(WIPLog!$I:$I,WIPLog!$C:$C,$A20))</f>
        <v/>
      </c>
      <c r="N20" s="5" t="str">
        <f>IF($A20="","",SUMIFS(WIPLog!$K:$K,WIPLog!$C:$C,$A20))</f>
        <v/>
      </c>
      <c r="O20" s="5" t="str">
        <f>IF($A20="","",SUMIFS('Delivery Log'!$E:$E,'Delivery Log'!$B:$B,$A20))</f>
        <v/>
      </c>
      <c r="P20" s="5" t="str">
        <f t="shared" si="0"/>
        <v/>
      </c>
      <c r="Q20" t="str">
        <f t="shared" si="1"/>
        <v/>
      </c>
    </row>
    <row r="21" spans="7:17">
      <c r="G21" s="5"/>
      <c r="H21" s="4"/>
      <c r="I21" s="4"/>
      <c r="K21" t="str">
        <f>IF($A21="","",IF($O21&gt;=$G21,"Delivered",IFERROR(LOOKUP(2,1/(WIPLog!$C$2:$C$1000=$A21),WIPLog!$F$2:$F$1000),"Not Started")))</f>
        <v/>
      </c>
      <c r="L21" s="5" t="str">
        <f>IF($A21="","",SUMIFS(WIPLog!$H:$H,WIPLog!$C:$C,$A21))</f>
        <v/>
      </c>
      <c r="M21" s="5" t="str">
        <f>IF($A21="","",SUMIFS(WIPLog!$I:$I,WIPLog!$C:$C,$A21))</f>
        <v/>
      </c>
      <c r="N21" s="5" t="str">
        <f>IF($A21="","",SUMIFS(WIPLog!$K:$K,WIPLog!$C:$C,$A21))</f>
        <v/>
      </c>
      <c r="O21" s="5" t="str">
        <f>IF($A21="","",SUMIFS('Delivery Log'!$E:$E,'Delivery Log'!$B:$B,$A21))</f>
        <v/>
      </c>
      <c r="P21" s="5" t="str">
        <f t="shared" si="0"/>
        <v/>
      </c>
      <c r="Q21" t="str">
        <f t="shared" si="1"/>
        <v/>
      </c>
    </row>
    <row r="22" spans="7:17">
      <c r="G22" s="5"/>
      <c r="H22" s="4"/>
      <c r="I22" s="4"/>
      <c r="K22" t="str">
        <f>IF($A22="","",IF($O22&gt;=$G22,"Delivered",IFERROR(LOOKUP(2,1/(WIPLog!$C$2:$C$1000=$A22),WIPLog!$F$2:$F$1000),"Not Started")))</f>
        <v/>
      </c>
      <c r="L22" s="5" t="str">
        <f>IF($A22="","",SUMIFS(WIPLog!$H:$H,WIPLog!$C:$C,$A22))</f>
        <v/>
      </c>
      <c r="M22" s="5" t="str">
        <f>IF($A22="","",SUMIFS(WIPLog!$I:$I,WIPLog!$C:$C,$A22))</f>
        <v/>
      </c>
      <c r="N22" s="5" t="str">
        <f>IF($A22="","",SUMIFS(WIPLog!$K:$K,WIPLog!$C:$C,$A22))</f>
        <v/>
      </c>
      <c r="O22" s="5" t="str">
        <f>IF($A22="","",SUMIFS('Delivery Log'!$E:$E,'Delivery Log'!$B:$B,$A22))</f>
        <v/>
      </c>
      <c r="P22" s="5" t="str">
        <f t="shared" si="0"/>
        <v/>
      </c>
      <c r="Q22" t="str">
        <f t="shared" si="1"/>
        <v/>
      </c>
    </row>
    <row r="23" spans="7:17">
      <c r="G23" s="5"/>
      <c r="H23" s="4"/>
      <c r="I23" s="4"/>
      <c r="K23" t="str">
        <f>IF($A23="","",IF($O23&gt;=$G23,"Delivered",IFERROR(LOOKUP(2,1/(WIPLog!$C$2:$C$1000=$A23),WIPLog!$F$2:$F$1000),"Not Started")))</f>
        <v/>
      </c>
      <c r="L23" s="5" t="str">
        <f>IF($A23="","",SUMIFS(WIPLog!$H:$H,WIPLog!$C:$C,$A23))</f>
        <v/>
      </c>
      <c r="M23" s="5" t="str">
        <f>IF($A23="","",SUMIFS(WIPLog!$I:$I,WIPLog!$C:$C,$A23))</f>
        <v/>
      </c>
      <c r="N23" s="5" t="str">
        <f>IF($A23="","",SUMIFS(WIPLog!$K:$K,WIPLog!$C:$C,$A23))</f>
        <v/>
      </c>
      <c r="O23" s="5" t="str">
        <f>IF($A23="","",SUMIFS('Delivery Log'!$E:$E,'Delivery Log'!$B:$B,$A23))</f>
        <v/>
      </c>
      <c r="P23" s="5" t="str">
        <f t="shared" si="0"/>
        <v/>
      </c>
      <c r="Q23" t="str">
        <f t="shared" si="1"/>
        <v/>
      </c>
    </row>
    <row r="24" spans="7:17">
      <c r="G24" s="5"/>
      <c r="H24" s="4"/>
      <c r="I24" s="4"/>
      <c r="K24" t="str">
        <f>IF($A24="","",IF($O24&gt;=$G24,"Delivered",IFERROR(LOOKUP(2,1/(WIPLog!$C$2:$C$1000=$A24),WIPLog!$F$2:$F$1000),"Not Started")))</f>
        <v/>
      </c>
      <c r="L24" s="5" t="str">
        <f>IF($A24="","",SUMIFS(WIPLog!$H:$H,WIPLog!$C:$C,$A24))</f>
        <v/>
      </c>
      <c r="M24" s="5" t="str">
        <f>IF($A24="","",SUMIFS(WIPLog!$I:$I,WIPLog!$C:$C,$A24))</f>
        <v/>
      </c>
      <c r="N24" s="5" t="str">
        <f>IF($A24="","",SUMIFS(WIPLog!$K:$K,WIPLog!$C:$C,$A24))</f>
        <v/>
      </c>
      <c r="O24" s="5" t="str">
        <f>IF($A24="","",SUMIFS('Delivery Log'!$E:$E,'Delivery Log'!$B:$B,$A24))</f>
        <v/>
      </c>
      <c r="P24" s="5" t="str">
        <f t="shared" si="0"/>
        <v/>
      </c>
      <c r="Q24" t="str">
        <f t="shared" si="1"/>
        <v/>
      </c>
    </row>
    <row r="25" spans="7:17">
      <c r="G25" s="5"/>
      <c r="H25" s="4"/>
      <c r="I25" s="4"/>
      <c r="K25" t="str">
        <f>IF($A25="","",IF($O25&gt;=$G25,"Delivered",IFERROR(LOOKUP(2,1/(WIPLog!$C$2:$C$1000=$A25),WIPLog!$F$2:$F$1000),"Not Started")))</f>
        <v/>
      </c>
      <c r="L25" s="5" t="str">
        <f>IF($A25="","",SUMIFS(WIPLog!$H:$H,WIPLog!$C:$C,$A25))</f>
        <v/>
      </c>
      <c r="M25" s="5" t="str">
        <f>IF($A25="","",SUMIFS(WIPLog!$I:$I,WIPLog!$C:$C,$A25))</f>
        <v/>
      </c>
      <c r="N25" s="5" t="str">
        <f>IF($A25="","",SUMIFS(WIPLog!$K:$K,WIPLog!$C:$C,$A25))</f>
        <v/>
      </c>
      <c r="O25" s="5" t="str">
        <f>IF($A25="","",SUMIFS('Delivery Log'!$E:$E,'Delivery Log'!$B:$B,$A25))</f>
        <v/>
      </c>
      <c r="P25" s="5" t="str">
        <f t="shared" si="0"/>
        <v/>
      </c>
      <c r="Q25" t="str">
        <f t="shared" si="1"/>
        <v/>
      </c>
    </row>
    <row r="26" spans="7:17">
      <c r="G26" s="5"/>
      <c r="H26" s="4"/>
      <c r="I26" s="4"/>
      <c r="K26" t="str">
        <f>IF($A26="","",IF($O26&gt;=$G26,"Delivered",IFERROR(LOOKUP(2,1/(WIPLog!$C$2:$C$1000=$A26),WIPLog!$F$2:$F$1000),"Not Started")))</f>
        <v/>
      </c>
      <c r="L26" s="5" t="str">
        <f>IF($A26="","",SUMIFS(WIPLog!$H:$H,WIPLog!$C:$C,$A26))</f>
        <v/>
      </c>
      <c r="M26" s="5" t="str">
        <f>IF($A26="","",SUMIFS(WIPLog!$I:$I,WIPLog!$C:$C,$A26))</f>
        <v/>
      </c>
      <c r="N26" s="5" t="str">
        <f>IF($A26="","",SUMIFS(WIPLog!$K:$K,WIPLog!$C:$C,$A26))</f>
        <v/>
      </c>
      <c r="O26" s="5" t="str">
        <f>IF($A26="","",SUMIFS('Delivery Log'!$E:$E,'Delivery Log'!$B:$B,$A26))</f>
        <v/>
      </c>
      <c r="P26" s="5" t="str">
        <f t="shared" si="0"/>
        <v/>
      </c>
      <c r="Q26" t="str">
        <f t="shared" si="1"/>
        <v/>
      </c>
    </row>
    <row r="27" spans="7:17">
      <c r="G27" s="5"/>
      <c r="H27" s="4"/>
      <c r="I27" s="4"/>
      <c r="K27" t="str">
        <f>IF($A27="","",IF($O27&gt;=$G27,"Delivered",IFERROR(LOOKUP(2,1/(WIPLog!$C$2:$C$1000=$A27),WIPLog!$F$2:$F$1000),"Not Started")))</f>
        <v/>
      </c>
      <c r="L27" s="5" t="str">
        <f>IF($A27="","",SUMIFS(WIPLog!$H:$H,WIPLog!$C:$C,$A27))</f>
        <v/>
      </c>
      <c r="M27" s="5" t="str">
        <f>IF($A27="","",SUMIFS(WIPLog!$I:$I,WIPLog!$C:$C,$A27))</f>
        <v/>
      </c>
      <c r="N27" s="5" t="str">
        <f>IF($A27="","",SUMIFS(WIPLog!$K:$K,WIPLog!$C:$C,$A27))</f>
        <v/>
      </c>
      <c r="O27" s="5" t="str">
        <f>IF($A27="","",SUMIFS('Delivery Log'!$E:$E,'Delivery Log'!$B:$B,$A27))</f>
        <v/>
      </c>
      <c r="P27" s="5" t="str">
        <f t="shared" si="0"/>
        <v/>
      </c>
      <c r="Q27" t="str">
        <f t="shared" si="1"/>
        <v/>
      </c>
    </row>
    <row r="28" spans="7:17">
      <c r="G28" s="5"/>
      <c r="H28" s="4"/>
      <c r="I28" s="4"/>
      <c r="K28" t="str">
        <f>IF($A28="","",IF($O28&gt;=$G28,"Delivered",IFERROR(LOOKUP(2,1/(WIPLog!$C$2:$C$1000=$A28),WIPLog!$F$2:$F$1000),"Not Started")))</f>
        <v/>
      </c>
      <c r="L28" s="5" t="str">
        <f>IF($A28="","",SUMIFS(WIPLog!$H:$H,WIPLog!$C:$C,$A28))</f>
        <v/>
      </c>
      <c r="M28" s="5" t="str">
        <f>IF($A28="","",SUMIFS(WIPLog!$I:$I,WIPLog!$C:$C,$A28))</f>
        <v/>
      </c>
      <c r="N28" s="5" t="str">
        <f>IF($A28="","",SUMIFS(WIPLog!$K:$K,WIPLog!$C:$C,$A28))</f>
        <v/>
      </c>
      <c r="O28" s="5" t="str">
        <f>IF($A28="","",SUMIFS('Delivery Log'!$E:$E,'Delivery Log'!$B:$B,$A28))</f>
        <v/>
      </c>
      <c r="P28" s="5" t="str">
        <f t="shared" si="0"/>
        <v/>
      </c>
      <c r="Q28" t="str">
        <f t="shared" si="1"/>
        <v/>
      </c>
    </row>
    <row r="29" spans="7:17">
      <c r="G29" s="5"/>
      <c r="H29" s="4"/>
      <c r="I29" s="4"/>
      <c r="K29" t="str">
        <f>IF($A29="","",IF($O29&gt;=$G29,"Delivered",IFERROR(LOOKUP(2,1/(WIPLog!$C$2:$C$1000=$A29),WIPLog!$F$2:$F$1000),"Not Started")))</f>
        <v/>
      </c>
      <c r="L29" s="5" t="str">
        <f>IF($A29="","",SUMIFS(WIPLog!$H:$H,WIPLog!$C:$C,$A29))</f>
        <v/>
      </c>
      <c r="M29" s="5" t="str">
        <f>IF($A29="","",SUMIFS(WIPLog!$I:$I,WIPLog!$C:$C,$A29))</f>
        <v/>
      </c>
      <c r="N29" s="5" t="str">
        <f>IF($A29="","",SUMIFS(WIPLog!$K:$K,WIPLog!$C:$C,$A29))</f>
        <v/>
      </c>
      <c r="O29" s="5" t="str">
        <f>IF($A29="","",SUMIFS('Delivery Log'!$E:$E,'Delivery Log'!$B:$B,$A29))</f>
        <v/>
      </c>
      <c r="P29" s="5" t="str">
        <f t="shared" si="0"/>
        <v/>
      </c>
      <c r="Q29" t="str">
        <f t="shared" si="1"/>
        <v/>
      </c>
    </row>
    <row r="30" spans="7:17">
      <c r="G30" s="5"/>
      <c r="H30" s="4"/>
      <c r="I30" s="4"/>
      <c r="K30" t="str">
        <f>IF($A30="","",IF($O30&gt;=$G30,"Delivered",IFERROR(LOOKUP(2,1/(WIPLog!$C$2:$C$1000=$A30),WIPLog!$F$2:$F$1000),"Not Started")))</f>
        <v/>
      </c>
      <c r="L30" s="5" t="str">
        <f>IF($A30="","",SUMIFS(WIPLog!$H:$H,WIPLog!$C:$C,$A30))</f>
        <v/>
      </c>
      <c r="M30" s="5" t="str">
        <f>IF($A30="","",SUMIFS(WIPLog!$I:$I,WIPLog!$C:$C,$A30))</f>
        <v/>
      </c>
      <c r="N30" s="5" t="str">
        <f>IF($A30="","",SUMIFS(WIPLog!$K:$K,WIPLog!$C:$C,$A30))</f>
        <v/>
      </c>
      <c r="O30" s="5" t="str">
        <f>IF($A30="","",SUMIFS('Delivery Log'!$E:$E,'Delivery Log'!$B:$B,$A30))</f>
        <v/>
      </c>
      <c r="P30" s="5" t="str">
        <f t="shared" si="0"/>
        <v/>
      </c>
      <c r="Q30" t="str">
        <f t="shared" si="1"/>
        <v/>
      </c>
    </row>
    <row r="31" spans="7:17">
      <c r="G31" s="5"/>
      <c r="H31" s="4"/>
      <c r="I31" s="4"/>
      <c r="K31" t="str">
        <f>IF($A31="","",IF($O31&gt;=$G31,"Delivered",IFERROR(LOOKUP(2,1/(WIPLog!$C$2:$C$1000=$A31),WIPLog!$F$2:$F$1000),"Not Started")))</f>
        <v/>
      </c>
      <c r="L31" s="5" t="str">
        <f>IF($A31="","",SUMIFS(WIPLog!$H:$H,WIPLog!$C:$C,$A31))</f>
        <v/>
      </c>
      <c r="M31" s="5" t="str">
        <f>IF($A31="","",SUMIFS(WIPLog!$I:$I,WIPLog!$C:$C,$A31))</f>
        <v/>
      </c>
      <c r="N31" s="5" t="str">
        <f>IF($A31="","",SUMIFS(WIPLog!$K:$K,WIPLog!$C:$C,$A31))</f>
        <v/>
      </c>
      <c r="O31" s="5" t="str">
        <f>IF($A31="","",SUMIFS('Delivery Log'!$E:$E,'Delivery Log'!$B:$B,$A31))</f>
        <v/>
      </c>
      <c r="P31" s="5" t="str">
        <f t="shared" si="0"/>
        <v/>
      </c>
      <c r="Q31" t="str">
        <f t="shared" si="1"/>
        <v/>
      </c>
    </row>
    <row r="32" spans="7:17">
      <c r="G32" s="5"/>
      <c r="H32" s="4"/>
      <c r="I32" s="4"/>
      <c r="K32" t="str">
        <f>IF($A32="","",IF($O32&gt;=$G32,"Delivered",IFERROR(LOOKUP(2,1/(WIPLog!$C$2:$C$1000=$A32),WIPLog!$F$2:$F$1000),"Not Started")))</f>
        <v/>
      </c>
      <c r="L32" s="5" t="str">
        <f>IF($A32="","",SUMIFS(WIPLog!$H:$H,WIPLog!$C:$C,$A32))</f>
        <v/>
      </c>
      <c r="M32" s="5" t="str">
        <f>IF($A32="","",SUMIFS(WIPLog!$I:$I,WIPLog!$C:$C,$A32))</f>
        <v/>
      </c>
      <c r="N32" s="5" t="str">
        <f>IF($A32="","",SUMIFS(WIPLog!$K:$K,WIPLog!$C:$C,$A32))</f>
        <v/>
      </c>
      <c r="O32" s="5" t="str">
        <f>IF($A32="","",SUMIFS('Delivery Log'!$E:$E,'Delivery Log'!$B:$B,$A32))</f>
        <v/>
      </c>
      <c r="P32" s="5" t="str">
        <f t="shared" si="0"/>
        <v/>
      </c>
      <c r="Q32" t="str">
        <f t="shared" si="1"/>
        <v/>
      </c>
    </row>
    <row r="33" spans="7:17">
      <c r="G33" s="5"/>
      <c r="H33" s="4"/>
      <c r="I33" s="4"/>
      <c r="K33" t="str">
        <f>IF($A33="","",IF($O33&gt;=$G33,"Delivered",IFERROR(LOOKUP(2,1/(WIPLog!$C$2:$C$1000=$A33),WIPLog!$F$2:$F$1000),"Not Started")))</f>
        <v/>
      </c>
      <c r="L33" s="5" t="str">
        <f>IF($A33="","",SUMIFS(WIPLog!$H:$H,WIPLog!$C:$C,$A33))</f>
        <v/>
      </c>
      <c r="M33" s="5" t="str">
        <f>IF($A33="","",SUMIFS(WIPLog!$I:$I,WIPLog!$C:$C,$A33))</f>
        <v/>
      </c>
      <c r="N33" s="5" t="str">
        <f>IF($A33="","",SUMIFS(WIPLog!$K:$K,WIPLog!$C:$C,$A33))</f>
        <v/>
      </c>
      <c r="O33" s="5" t="str">
        <f>IF($A33="","",SUMIFS('Delivery Log'!$E:$E,'Delivery Log'!$B:$B,$A33))</f>
        <v/>
      </c>
      <c r="P33" s="5" t="str">
        <f t="shared" si="0"/>
        <v/>
      </c>
      <c r="Q33" t="str">
        <f t="shared" si="1"/>
        <v/>
      </c>
    </row>
    <row r="34" spans="7:17">
      <c r="G34" s="5"/>
      <c r="H34" s="4"/>
      <c r="I34" s="4"/>
      <c r="K34" t="str">
        <f>IF($A34="","",IF($O34&gt;=$G34,"Delivered",IFERROR(LOOKUP(2,1/(WIPLog!$C$2:$C$1000=$A34),WIPLog!$F$2:$F$1000),"Not Started")))</f>
        <v/>
      </c>
      <c r="L34" s="5" t="str">
        <f>IF($A34="","",SUMIFS(WIPLog!$H:$H,WIPLog!$C:$C,$A34))</f>
        <v/>
      </c>
      <c r="M34" s="5" t="str">
        <f>IF($A34="","",SUMIFS(WIPLog!$I:$I,WIPLog!$C:$C,$A34))</f>
        <v/>
      </c>
      <c r="N34" s="5" t="str">
        <f>IF($A34="","",SUMIFS(WIPLog!$K:$K,WIPLog!$C:$C,$A34))</f>
        <v/>
      </c>
      <c r="O34" s="5" t="str">
        <f>IF($A34="","",SUMIFS('Delivery Log'!$E:$E,'Delivery Log'!$B:$B,$A34))</f>
        <v/>
      </c>
      <c r="P34" s="5" t="str">
        <f t="shared" si="0"/>
        <v/>
      </c>
      <c r="Q34" t="str">
        <f t="shared" si="1"/>
        <v/>
      </c>
    </row>
    <row r="35" spans="7:17">
      <c r="G35" s="5"/>
      <c r="H35" s="4"/>
      <c r="I35" s="4"/>
      <c r="K35" t="str">
        <f>IF($A35="","",IF($O35&gt;=$G35,"Delivered",IFERROR(LOOKUP(2,1/(WIPLog!$C$2:$C$1000=$A35),WIPLog!$F$2:$F$1000),"Not Started")))</f>
        <v/>
      </c>
      <c r="L35" s="5" t="str">
        <f>IF($A35="","",SUMIFS(WIPLog!$H:$H,WIPLog!$C:$C,$A35))</f>
        <v/>
      </c>
      <c r="M35" s="5" t="str">
        <f>IF($A35="","",SUMIFS(WIPLog!$I:$I,WIPLog!$C:$C,$A35))</f>
        <v/>
      </c>
      <c r="N35" s="5" t="str">
        <f>IF($A35="","",SUMIFS(WIPLog!$K:$K,WIPLog!$C:$C,$A35))</f>
        <v/>
      </c>
      <c r="O35" s="5" t="str">
        <f>IF($A35="","",SUMIFS('Delivery Log'!$E:$E,'Delivery Log'!$B:$B,$A35))</f>
        <v/>
      </c>
      <c r="P35" s="5" t="str">
        <f t="shared" si="0"/>
        <v/>
      </c>
      <c r="Q35" t="str">
        <f t="shared" si="1"/>
        <v/>
      </c>
    </row>
    <row r="36" spans="7:17">
      <c r="G36" s="5"/>
      <c r="H36" s="4"/>
      <c r="I36" s="4"/>
      <c r="K36" t="str">
        <f>IF($A36="","",IF($O36&gt;=$G36,"Delivered",IFERROR(LOOKUP(2,1/(WIPLog!$C$2:$C$1000=$A36),WIPLog!$F$2:$F$1000),"Not Started")))</f>
        <v/>
      </c>
      <c r="L36" s="5" t="str">
        <f>IF($A36="","",SUMIFS(WIPLog!$H:$H,WIPLog!$C:$C,$A36))</f>
        <v/>
      </c>
      <c r="M36" s="5" t="str">
        <f>IF($A36="","",SUMIFS(WIPLog!$I:$I,WIPLog!$C:$C,$A36))</f>
        <v/>
      </c>
      <c r="N36" s="5" t="str">
        <f>IF($A36="","",SUMIFS(WIPLog!$K:$K,WIPLog!$C:$C,$A36))</f>
        <v/>
      </c>
      <c r="O36" s="5" t="str">
        <f>IF($A36="","",SUMIFS('Delivery Log'!$E:$E,'Delivery Log'!$B:$B,$A36))</f>
        <v/>
      </c>
      <c r="P36" s="5" t="str">
        <f t="shared" si="0"/>
        <v/>
      </c>
      <c r="Q36" t="str">
        <f t="shared" si="1"/>
        <v/>
      </c>
    </row>
    <row r="37" spans="7:17">
      <c r="G37" s="5"/>
      <c r="H37" s="4"/>
      <c r="I37" s="4"/>
      <c r="K37" t="str">
        <f>IF($A37="","",IF($O37&gt;=$G37,"Delivered",IFERROR(LOOKUP(2,1/(WIPLog!$C$2:$C$1000=$A37),WIPLog!$F$2:$F$1000),"Not Started")))</f>
        <v/>
      </c>
      <c r="L37" s="5" t="str">
        <f>IF($A37="","",SUMIFS(WIPLog!$H:$H,WIPLog!$C:$C,$A37))</f>
        <v/>
      </c>
      <c r="M37" s="5" t="str">
        <f>IF($A37="","",SUMIFS(WIPLog!$I:$I,WIPLog!$C:$C,$A37))</f>
        <v/>
      </c>
      <c r="N37" s="5" t="str">
        <f>IF($A37="","",SUMIFS(WIPLog!$K:$K,WIPLog!$C:$C,$A37))</f>
        <v/>
      </c>
      <c r="O37" s="5" t="str">
        <f>IF($A37="","",SUMIFS('Delivery Log'!$E:$E,'Delivery Log'!$B:$B,$A37))</f>
        <v/>
      </c>
      <c r="P37" s="5" t="str">
        <f t="shared" si="0"/>
        <v/>
      </c>
      <c r="Q37" t="str">
        <f t="shared" si="1"/>
        <v/>
      </c>
    </row>
    <row r="38" spans="7:17">
      <c r="G38" s="5"/>
      <c r="H38" s="4"/>
      <c r="I38" s="4"/>
      <c r="K38" t="str">
        <f>IF($A38="","",IF($O38&gt;=$G38,"Delivered",IFERROR(LOOKUP(2,1/(WIPLog!$C$2:$C$1000=$A38),WIPLog!$F$2:$F$1000),"Not Started")))</f>
        <v/>
      </c>
      <c r="L38" s="5" t="str">
        <f>IF($A38="","",SUMIFS(WIPLog!$H:$H,WIPLog!$C:$C,$A38))</f>
        <v/>
      </c>
      <c r="M38" s="5" t="str">
        <f>IF($A38="","",SUMIFS(WIPLog!$I:$I,WIPLog!$C:$C,$A38))</f>
        <v/>
      </c>
      <c r="N38" s="5" t="str">
        <f>IF($A38="","",SUMIFS(WIPLog!$K:$K,WIPLog!$C:$C,$A38))</f>
        <v/>
      </c>
      <c r="O38" s="5" t="str">
        <f>IF($A38="","",SUMIFS('Delivery Log'!$E:$E,'Delivery Log'!$B:$B,$A38))</f>
        <v/>
      </c>
      <c r="P38" s="5" t="str">
        <f t="shared" si="0"/>
        <v/>
      </c>
      <c r="Q38" t="str">
        <f t="shared" si="1"/>
        <v/>
      </c>
    </row>
    <row r="39" spans="7:17">
      <c r="G39" s="5"/>
      <c r="H39" s="4"/>
      <c r="I39" s="4"/>
      <c r="K39" t="str">
        <f>IF($A39="","",IF($O39&gt;=$G39,"Delivered",IFERROR(LOOKUP(2,1/(WIPLog!$C$2:$C$1000=$A39),WIPLog!$F$2:$F$1000),"Not Started")))</f>
        <v/>
      </c>
      <c r="L39" s="5" t="str">
        <f>IF($A39="","",SUMIFS(WIPLog!$H:$H,WIPLog!$C:$C,$A39))</f>
        <v/>
      </c>
      <c r="M39" s="5" t="str">
        <f>IF($A39="","",SUMIFS(WIPLog!$I:$I,WIPLog!$C:$C,$A39))</f>
        <v/>
      </c>
      <c r="N39" s="5" t="str">
        <f>IF($A39="","",SUMIFS(WIPLog!$K:$K,WIPLog!$C:$C,$A39))</f>
        <v/>
      </c>
      <c r="O39" s="5" t="str">
        <f>IF($A39="","",SUMIFS('Delivery Log'!$E:$E,'Delivery Log'!$B:$B,$A39))</f>
        <v/>
      </c>
      <c r="P39" s="5" t="str">
        <f t="shared" si="0"/>
        <v/>
      </c>
      <c r="Q39" t="str">
        <f t="shared" si="1"/>
        <v/>
      </c>
    </row>
    <row r="40" spans="7:17">
      <c r="G40" s="5"/>
      <c r="H40" s="4"/>
      <c r="I40" s="4"/>
      <c r="K40" t="str">
        <f>IF($A40="","",IF($O40&gt;=$G40,"Delivered",IFERROR(LOOKUP(2,1/(WIPLog!$C$2:$C$1000=$A40),WIPLog!$F$2:$F$1000),"Not Started")))</f>
        <v/>
      </c>
      <c r="L40" s="5" t="str">
        <f>IF($A40="","",SUMIFS(WIPLog!$H:$H,WIPLog!$C:$C,$A40))</f>
        <v/>
      </c>
      <c r="M40" s="5" t="str">
        <f>IF($A40="","",SUMIFS(WIPLog!$I:$I,WIPLog!$C:$C,$A40))</f>
        <v/>
      </c>
      <c r="N40" s="5" t="str">
        <f>IF($A40="","",SUMIFS(WIPLog!$K:$K,WIPLog!$C:$C,$A40))</f>
        <v/>
      </c>
      <c r="O40" s="5" t="str">
        <f>IF($A40="","",SUMIFS('Delivery Log'!$E:$E,'Delivery Log'!$B:$B,$A40))</f>
        <v/>
      </c>
      <c r="P40" s="5" t="str">
        <f t="shared" si="0"/>
        <v/>
      </c>
      <c r="Q40" t="str">
        <f t="shared" si="1"/>
        <v/>
      </c>
    </row>
    <row r="41" spans="7:17">
      <c r="G41" s="5"/>
      <c r="H41" s="4"/>
      <c r="I41" s="4"/>
      <c r="K41" t="str">
        <f>IF($A41="","",IF($O41&gt;=$G41,"Delivered",IFERROR(LOOKUP(2,1/(WIPLog!$C$2:$C$1000=$A41),WIPLog!$F$2:$F$1000),"Not Started")))</f>
        <v/>
      </c>
      <c r="L41" s="5" t="str">
        <f>IF($A41="","",SUMIFS(WIPLog!$H:$H,WIPLog!$C:$C,$A41))</f>
        <v/>
      </c>
      <c r="M41" s="5" t="str">
        <f>IF($A41="","",SUMIFS(WIPLog!$I:$I,WIPLog!$C:$C,$A41))</f>
        <v/>
      </c>
      <c r="N41" s="5" t="str">
        <f>IF($A41="","",SUMIFS(WIPLog!$K:$K,WIPLog!$C:$C,$A41))</f>
        <v/>
      </c>
      <c r="O41" s="5" t="str">
        <f>IF($A41="","",SUMIFS('Delivery Log'!$E:$E,'Delivery Log'!$B:$B,$A41))</f>
        <v/>
      </c>
      <c r="P41" s="5" t="str">
        <f t="shared" si="0"/>
        <v/>
      </c>
      <c r="Q41" t="str">
        <f t="shared" si="1"/>
        <v/>
      </c>
    </row>
    <row r="42" spans="7:17">
      <c r="G42" s="5"/>
      <c r="H42" s="4"/>
      <c r="I42" s="4"/>
      <c r="K42" t="str">
        <f>IF($A42="","",IF($O42&gt;=$G42,"Delivered",IFERROR(LOOKUP(2,1/(WIPLog!$C$2:$C$1000=$A42),WIPLog!$F$2:$F$1000),"Not Started")))</f>
        <v/>
      </c>
      <c r="L42" s="5" t="str">
        <f>IF($A42="","",SUMIFS(WIPLog!$H:$H,WIPLog!$C:$C,$A42))</f>
        <v/>
      </c>
      <c r="M42" s="5" t="str">
        <f>IF($A42="","",SUMIFS(WIPLog!$I:$I,WIPLog!$C:$C,$A42))</f>
        <v/>
      </c>
      <c r="N42" s="5" t="str">
        <f>IF($A42="","",SUMIFS(WIPLog!$K:$K,WIPLog!$C:$C,$A42))</f>
        <v/>
      </c>
      <c r="O42" s="5" t="str">
        <f>IF($A42="","",SUMIFS('Delivery Log'!$E:$E,'Delivery Log'!$B:$B,$A42))</f>
        <v/>
      </c>
      <c r="P42" s="5" t="str">
        <f t="shared" si="0"/>
        <v/>
      </c>
      <c r="Q42" t="str">
        <f t="shared" si="1"/>
        <v/>
      </c>
    </row>
    <row r="43" spans="7:17">
      <c r="G43" s="5"/>
      <c r="H43" s="4"/>
      <c r="I43" s="4"/>
      <c r="K43" t="str">
        <f>IF($A43="","",IF($O43&gt;=$G43,"Delivered",IFERROR(LOOKUP(2,1/(WIPLog!$C$2:$C$1000=$A43),WIPLog!$F$2:$F$1000),"Not Started")))</f>
        <v/>
      </c>
      <c r="L43" s="5" t="str">
        <f>IF($A43="","",SUMIFS(WIPLog!$H:$H,WIPLog!$C:$C,$A43))</f>
        <v/>
      </c>
      <c r="M43" s="5" t="str">
        <f>IF($A43="","",SUMIFS(WIPLog!$I:$I,WIPLog!$C:$C,$A43))</f>
        <v/>
      </c>
      <c r="N43" s="5" t="str">
        <f>IF($A43="","",SUMIFS(WIPLog!$K:$K,WIPLog!$C:$C,$A43))</f>
        <v/>
      </c>
      <c r="O43" s="5" t="str">
        <f>IF($A43="","",SUMIFS('Delivery Log'!$E:$E,'Delivery Log'!$B:$B,$A43))</f>
        <v/>
      </c>
      <c r="P43" s="5" t="str">
        <f t="shared" si="0"/>
        <v/>
      </c>
      <c r="Q43" t="str">
        <f t="shared" si="1"/>
        <v/>
      </c>
    </row>
    <row r="44" spans="7:17">
      <c r="G44" s="5"/>
      <c r="H44" s="4"/>
      <c r="I44" s="4"/>
      <c r="K44" t="str">
        <f>IF($A44="","",IF($O44&gt;=$G44,"Delivered",IFERROR(LOOKUP(2,1/(WIPLog!$C$2:$C$1000=$A44),WIPLog!$F$2:$F$1000),"Not Started")))</f>
        <v/>
      </c>
      <c r="L44" s="5" t="str">
        <f>IF($A44="","",SUMIFS(WIPLog!$H:$H,WIPLog!$C:$C,$A44))</f>
        <v/>
      </c>
      <c r="M44" s="5" t="str">
        <f>IF($A44="","",SUMIFS(WIPLog!$I:$I,WIPLog!$C:$C,$A44))</f>
        <v/>
      </c>
      <c r="N44" s="5" t="str">
        <f>IF($A44="","",SUMIFS(WIPLog!$K:$K,WIPLog!$C:$C,$A44))</f>
        <v/>
      </c>
      <c r="O44" s="5" t="str">
        <f>IF($A44="","",SUMIFS('Delivery Log'!$E:$E,'Delivery Log'!$B:$B,$A44))</f>
        <v/>
      </c>
      <c r="P44" s="5" t="str">
        <f t="shared" si="0"/>
        <v/>
      </c>
      <c r="Q44" t="str">
        <f t="shared" si="1"/>
        <v/>
      </c>
    </row>
    <row r="45" spans="7:17">
      <c r="G45" s="5"/>
      <c r="H45" s="4"/>
      <c r="I45" s="4"/>
      <c r="K45" t="str">
        <f>IF($A45="","",IF($O45&gt;=$G45,"Delivered",IFERROR(LOOKUP(2,1/(WIPLog!$C$2:$C$1000=$A45),WIPLog!$F$2:$F$1000),"Not Started")))</f>
        <v/>
      </c>
      <c r="L45" s="5" t="str">
        <f>IF($A45="","",SUMIFS(WIPLog!$H:$H,WIPLog!$C:$C,$A45))</f>
        <v/>
      </c>
      <c r="M45" s="5" t="str">
        <f>IF($A45="","",SUMIFS(WIPLog!$I:$I,WIPLog!$C:$C,$A45))</f>
        <v/>
      </c>
      <c r="N45" s="5" t="str">
        <f>IF($A45="","",SUMIFS(WIPLog!$K:$K,WIPLog!$C:$C,$A45))</f>
        <v/>
      </c>
      <c r="O45" s="5" t="str">
        <f>IF($A45="","",SUMIFS('Delivery Log'!$E:$E,'Delivery Log'!$B:$B,$A45))</f>
        <v/>
      </c>
      <c r="P45" s="5" t="str">
        <f t="shared" si="0"/>
        <v/>
      </c>
      <c r="Q45" t="str">
        <f t="shared" si="1"/>
        <v/>
      </c>
    </row>
    <row r="46" spans="7:17">
      <c r="G46" s="5"/>
      <c r="H46" s="4"/>
      <c r="I46" s="4"/>
      <c r="K46" t="str">
        <f>IF($A46="","",IF($O46&gt;=$G46,"Delivered",IFERROR(LOOKUP(2,1/(WIPLog!$C$2:$C$1000=$A46),WIPLog!$F$2:$F$1000),"Not Started")))</f>
        <v/>
      </c>
      <c r="L46" s="5" t="str">
        <f>IF($A46="","",SUMIFS(WIPLog!$H:$H,WIPLog!$C:$C,$A46))</f>
        <v/>
      </c>
      <c r="M46" s="5" t="str">
        <f>IF($A46="","",SUMIFS(WIPLog!$I:$I,WIPLog!$C:$C,$A46))</f>
        <v/>
      </c>
      <c r="N46" s="5" t="str">
        <f>IF($A46="","",SUMIFS(WIPLog!$K:$K,WIPLog!$C:$C,$A46))</f>
        <v/>
      </c>
      <c r="O46" s="5" t="str">
        <f>IF($A46="","",SUMIFS('Delivery Log'!$E:$E,'Delivery Log'!$B:$B,$A46))</f>
        <v/>
      </c>
      <c r="P46" s="5" t="str">
        <f t="shared" si="0"/>
        <v/>
      </c>
      <c r="Q46" t="str">
        <f t="shared" si="1"/>
        <v/>
      </c>
    </row>
    <row r="47" spans="7:17">
      <c r="G47" s="5"/>
      <c r="H47" s="4"/>
      <c r="I47" s="4"/>
      <c r="K47" t="str">
        <f>IF($A47="","",IF($O47&gt;=$G47,"Delivered",IFERROR(LOOKUP(2,1/(WIPLog!$C$2:$C$1000=$A47),WIPLog!$F$2:$F$1000),"Not Started")))</f>
        <v/>
      </c>
      <c r="L47" s="5" t="str">
        <f>IF($A47="","",SUMIFS(WIPLog!$H:$H,WIPLog!$C:$C,$A47))</f>
        <v/>
      </c>
      <c r="M47" s="5" t="str">
        <f>IF($A47="","",SUMIFS(WIPLog!$I:$I,WIPLog!$C:$C,$A47))</f>
        <v/>
      </c>
      <c r="N47" s="5" t="str">
        <f>IF($A47="","",SUMIFS(WIPLog!$K:$K,WIPLog!$C:$C,$A47))</f>
        <v/>
      </c>
      <c r="O47" s="5" t="str">
        <f>IF($A47="","",SUMIFS('Delivery Log'!$E:$E,'Delivery Log'!$B:$B,$A47))</f>
        <v/>
      </c>
      <c r="P47" s="5" t="str">
        <f t="shared" si="0"/>
        <v/>
      </c>
      <c r="Q47" t="str">
        <f t="shared" si="1"/>
        <v/>
      </c>
    </row>
    <row r="48" spans="7:17">
      <c r="G48" s="5"/>
      <c r="H48" s="4"/>
      <c r="I48" s="4"/>
      <c r="K48" t="str">
        <f>IF($A48="","",IF($O48&gt;=$G48,"Delivered",IFERROR(LOOKUP(2,1/(WIPLog!$C$2:$C$1000=$A48),WIPLog!$F$2:$F$1000),"Not Started")))</f>
        <v/>
      </c>
      <c r="L48" s="5" t="str">
        <f>IF($A48="","",SUMIFS(WIPLog!$H:$H,WIPLog!$C:$C,$A48))</f>
        <v/>
      </c>
      <c r="M48" s="5" t="str">
        <f>IF($A48="","",SUMIFS(WIPLog!$I:$I,WIPLog!$C:$C,$A48))</f>
        <v/>
      </c>
      <c r="N48" s="5" t="str">
        <f>IF($A48="","",SUMIFS(WIPLog!$K:$K,WIPLog!$C:$C,$A48))</f>
        <v/>
      </c>
      <c r="O48" s="5" t="str">
        <f>IF($A48="","",SUMIFS('Delivery Log'!$E:$E,'Delivery Log'!$B:$B,$A48))</f>
        <v/>
      </c>
      <c r="P48" s="5" t="str">
        <f t="shared" si="0"/>
        <v/>
      </c>
      <c r="Q48" t="str">
        <f t="shared" si="1"/>
        <v/>
      </c>
    </row>
    <row r="49" spans="7:17">
      <c r="G49" s="5"/>
      <c r="H49" s="4"/>
      <c r="I49" s="4"/>
      <c r="K49" t="str">
        <f>IF($A49="","",IF($O49&gt;=$G49,"Delivered",IFERROR(LOOKUP(2,1/(WIPLog!$C$2:$C$1000=$A49),WIPLog!$F$2:$F$1000),"Not Started")))</f>
        <v/>
      </c>
      <c r="L49" s="5" t="str">
        <f>IF($A49="","",SUMIFS(WIPLog!$H:$H,WIPLog!$C:$C,$A49))</f>
        <v/>
      </c>
      <c r="M49" s="5" t="str">
        <f>IF($A49="","",SUMIFS(WIPLog!$I:$I,WIPLog!$C:$C,$A49))</f>
        <v/>
      </c>
      <c r="N49" s="5" t="str">
        <f>IF($A49="","",SUMIFS(WIPLog!$K:$K,WIPLog!$C:$C,$A49))</f>
        <v/>
      </c>
      <c r="O49" s="5" t="str">
        <f>IF($A49="","",SUMIFS('Delivery Log'!$E:$E,'Delivery Log'!$B:$B,$A49))</f>
        <v/>
      </c>
      <c r="P49" s="5" t="str">
        <f t="shared" si="0"/>
        <v/>
      </c>
      <c r="Q49" t="str">
        <f t="shared" si="1"/>
        <v/>
      </c>
    </row>
    <row r="50" spans="7:17">
      <c r="G50" s="5"/>
      <c r="H50" s="4"/>
      <c r="I50" s="4"/>
      <c r="K50" t="str">
        <f>IF($A50="","",IF($O50&gt;=$G50,"Delivered",IFERROR(LOOKUP(2,1/(WIPLog!$C$2:$C$1000=$A50),WIPLog!$F$2:$F$1000),"Not Started")))</f>
        <v/>
      </c>
      <c r="L50" s="5" t="str">
        <f>IF($A50="","",SUMIFS(WIPLog!$H:$H,WIPLog!$C:$C,$A50))</f>
        <v/>
      </c>
      <c r="M50" s="5" t="str">
        <f>IF($A50="","",SUMIFS(WIPLog!$I:$I,WIPLog!$C:$C,$A50))</f>
        <v/>
      </c>
      <c r="N50" s="5" t="str">
        <f>IF($A50="","",SUMIFS(WIPLog!$K:$K,WIPLog!$C:$C,$A50))</f>
        <v/>
      </c>
      <c r="O50" s="5" t="str">
        <f>IF($A50="","",SUMIFS('Delivery Log'!$E:$E,'Delivery Log'!$B:$B,$A50))</f>
        <v/>
      </c>
      <c r="P50" s="5" t="str">
        <f t="shared" si="0"/>
        <v/>
      </c>
      <c r="Q50" t="str">
        <f t="shared" si="1"/>
        <v/>
      </c>
    </row>
    <row r="51" spans="7:17">
      <c r="G51" s="5"/>
      <c r="H51" s="4"/>
      <c r="I51" s="4"/>
      <c r="K51" t="str">
        <f>IF($A51="","",IF($O51&gt;=$G51,"Delivered",IFERROR(LOOKUP(2,1/(WIPLog!$C$2:$C$1000=$A51),WIPLog!$F$2:$F$1000),"Not Started")))</f>
        <v/>
      </c>
      <c r="L51" s="5" t="str">
        <f>IF($A51="","",SUMIFS(WIPLog!$H:$H,WIPLog!$C:$C,$A51))</f>
        <v/>
      </c>
      <c r="M51" s="5" t="str">
        <f>IF($A51="","",SUMIFS(WIPLog!$I:$I,WIPLog!$C:$C,$A51))</f>
        <v/>
      </c>
      <c r="N51" s="5" t="str">
        <f>IF($A51="","",SUMIFS(WIPLog!$K:$K,WIPLog!$C:$C,$A51))</f>
        <v/>
      </c>
      <c r="O51" s="5" t="str">
        <f>IF($A51="","",SUMIFS('Delivery Log'!$E:$E,'Delivery Log'!$B:$B,$A51))</f>
        <v/>
      </c>
      <c r="P51" s="5" t="str">
        <f t="shared" si="0"/>
        <v/>
      </c>
      <c r="Q51" t="str">
        <f t="shared" si="1"/>
        <v/>
      </c>
    </row>
    <row r="52" spans="7:17">
      <c r="G52" s="5"/>
      <c r="H52" s="4"/>
      <c r="I52" s="4"/>
      <c r="K52" t="str">
        <f>IF($A52="","",IF($O52&gt;=$G52,"Delivered",IFERROR(LOOKUP(2,1/(WIPLog!$C$2:$C$1000=$A52),WIPLog!$F$2:$F$1000),"Not Started")))</f>
        <v/>
      </c>
      <c r="L52" s="5" t="str">
        <f>IF($A52="","",SUMIFS(WIPLog!$H:$H,WIPLog!$C:$C,$A52))</f>
        <v/>
      </c>
      <c r="M52" s="5" t="str">
        <f>IF($A52="","",SUMIFS(WIPLog!$I:$I,WIPLog!$C:$C,$A52))</f>
        <v/>
      </c>
      <c r="N52" s="5" t="str">
        <f>IF($A52="","",SUMIFS(WIPLog!$K:$K,WIPLog!$C:$C,$A52))</f>
        <v/>
      </c>
      <c r="O52" s="5" t="str">
        <f>IF($A52="","",SUMIFS('Delivery Log'!$E:$E,'Delivery Log'!$B:$B,$A52))</f>
        <v/>
      </c>
      <c r="P52" s="5" t="str">
        <f t="shared" si="0"/>
        <v/>
      </c>
      <c r="Q52" t="str">
        <f t="shared" si="1"/>
        <v/>
      </c>
    </row>
    <row r="53" spans="7:17">
      <c r="G53" s="5"/>
      <c r="H53" s="4"/>
      <c r="I53" s="4"/>
      <c r="K53" t="str">
        <f>IF($A53="","",IF($O53&gt;=$G53,"Delivered",IFERROR(LOOKUP(2,1/(WIPLog!$C$2:$C$1000=$A53),WIPLog!$F$2:$F$1000),"Not Started")))</f>
        <v/>
      </c>
      <c r="L53" s="5" t="str">
        <f>IF($A53="","",SUMIFS(WIPLog!$H:$H,WIPLog!$C:$C,$A53))</f>
        <v/>
      </c>
      <c r="M53" s="5" t="str">
        <f>IF($A53="","",SUMIFS(WIPLog!$I:$I,WIPLog!$C:$C,$A53))</f>
        <v/>
      </c>
      <c r="N53" s="5" t="str">
        <f>IF($A53="","",SUMIFS(WIPLog!$K:$K,WIPLog!$C:$C,$A53))</f>
        <v/>
      </c>
      <c r="O53" s="5" t="str">
        <f>IF($A53="","",SUMIFS('Delivery Log'!$E:$E,'Delivery Log'!$B:$B,$A53))</f>
        <v/>
      </c>
      <c r="P53" s="5" t="str">
        <f t="shared" si="0"/>
        <v/>
      </c>
      <c r="Q53" t="str">
        <f t="shared" si="1"/>
        <v/>
      </c>
    </row>
    <row r="54" spans="7:17">
      <c r="G54" s="5"/>
      <c r="H54" s="4"/>
      <c r="I54" s="4"/>
      <c r="K54" t="str">
        <f>IF($A54="","",IF($O54&gt;=$G54,"Delivered",IFERROR(LOOKUP(2,1/(WIPLog!$C$2:$C$1000=$A54),WIPLog!$F$2:$F$1000),"Not Started")))</f>
        <v/>
      </c>
      <c r="L54" s="5" t="str">
        <f>IF($A54="","",SUMIFS(WIPLog!$H:$H,WIPLog!$C:$C,$A54))</f>
        <v/>
      </c>
      <c r="M54" s="5" t="str">
        <f>IF($A54="","",SUMIFS(WIPLog!$I:$I,WIPLog!$C:$C,$A54))</f>
        <v/>
      </c>
      <c r="N54" s="5" t="str">
        <f>IF($A54="","",SUMIFS(WIPLog!$K:$K,WIPLog!$C:$C,$A54))</f>
        <v/>
      </c>
      <c r="O54" s="5" t="str">
        <f>IF($A54="","",SUMIFS('Delivery Log'!$E:$E,'Delivery Log'!$B:$B,$A54))</f>
        <v/>
      </c>
      <c r="P54" s="5" t="str">
        <f t="shared" si="0"/>
        <v/>
      </c>
      <c r="Q54" t="str">
        <f t="shared" si="1"/>
        <v/>
      </c>
    </row>
    <row r="55" spans="7:17">
      <c r="G55" s="5"/>
      <c r="H55" s="4"/>
      <c r="I55" s="4"/>
      <c r="K55" t="str">
        <f>IF($A55="","",IF($O55&gt;=$G55,"Delivered",IFERROR(LOOKUP(2,1/(WIPLog!$C$2:$C$1000=$A55),WIPLog!$F$2:$F$1000),"Not Started")))</f>
        <v/>
      </c>
      <c r="L55" s="5" t="str">
        <f>IF($A55="","",SUMIFS(WIPLog!$H:$H,WIPLog!$C:$C,$A55))</f>
        <v/>
      </c>
      <c r="M55" s="5" t="str">
        <f>IF($A55="","",SUMIFS(WIPLog!$I:$I,WIPLog!$C:$C,$A55))</f>
        <v/>
      </c>
      <c r="N55" s="5" t="str">
        <f>IF($A55="","",SUMIFS(WIPLog!$K:$K,WIPLog!$C:$C,$A55))</f>
        <v/>
      </c>
      <c r="O55" s="5" t="str">
        <f>IF($A55="","",SUMIFS('Delivery Log'!$E:$E,'Delivery Log'!$B:$B,$A55))</f>
        <v/>
      </c>
      <c r="P55" s="5" t="str">
        <f t="shared" si="0"/>
        <v/>
      </c>
      <c r="Q55" t="str">
        <f t="shared" si="1"/>
        <v/>
      </c>
    </row>
    <row r="56" spans="7:17">
      <c r="G56" s="5"/>
      <c r="H56" s="4"/>
      <c r="I56" s="4"/>
      <c r="K56" t="str">
        <f>IF($A56="","",IF($O56&gt;=$G56,"Delivered",IFERROR(LOOKUP(2,1/(WIPLog!$C$2:$C$1000=$A56),WIPLog!$F$2:$F$1000),"Not Started")))</f>
        <v/>
      </c>
      <c r="L56" s="5" t="str">
        <f>IF($A56="","",SUMIFS(WIPLog!$H:$H,WIPLog!$C:$C,$A56))</f>
        <v/>
      </c>
      <c r="M56" s="5" t="str">
        <f>IF($A56="","",SUMIFS(WIPLog!$I:$I,WIPLog!$C:$C,$A56))</f>
        <v/>
      </c>
      <c r="N56" s="5" t="str">
        <f>IF($A56="","",SUMIFS(WIPLog!$K:$K,WIPLog!$C:$C,$A56))</f>
        <v/>
      </c>
      <c r="O56" s="5" t="str">
        <f>IF($A56="","",SUMIFS('Delivery Log'!$E:$E,'Delivery Log'!$B:$B,$A56))</f>
        <v/>
      </c>
      <c r="P56" s="5" t="str">
        <f t="shared" si="0"/>
        <v/>
      </c>
      <c r="Q56" t="str">
        <f t="shared" si="1"/>
        <v/>
      </c>
    </row>
    <row r="57" spans="7:17">
      <c r="G57" s="5"/>
      <c r="H57" s="4"/>
      <c r="I57" s="4"/>
      <c r="K57" t="str">
        <f>IF($A57="","",IF($O57&gt;=$G57,"Delivered",IFERROR(LOOKUP(2,1/(WIPLog!$C$2:$C$1000=$A57),WIPLog!$F$2:$F$1000),"Not Started")))</f>
        <v/>
      </c>
      <c r="L57" s="5" t="str">
        <f>IF($A57="","",SUMIFS(WIPLog!$H:$H,WIPLog!$C:$C,$A57))</f>
        <v/>
      </c>
      <c r="M57" s="5" t="str">
        <f>IF($A57="","",SUMIFS(WIPLog!$I:$I,WIPLog!$C:$C,$A57))</f>
        <v/>
      </c>
      <c r="N57" s="5" t="str">
        <f>IF($A57="","",SUMIFS(WIPLog!$K:$K,WIPLog!$C:$C,$A57))</f>
        <v/>
      </c>
      <c r="O57" s="5" t="str">
        <f>IF($A57="","",SUMIFS('Delivery Log'!$E:$E,'Delivery Log'!$B:$B,$A57))</f>
        <v/>
      </c>
      <c r="P57" s="5" t="str">
        <f t="shared" si="0"/>
        <v/>
      </c>
      <c r="Q57" t="str">
        <f t="shared" si="1"/>
        <v/>
      </c>
    </row>
    <row r="58" spans="7:17">
      <c r="G58" s="5"/>
      <c r="H58" s="4"/>
      <c r="I58" s="4"/>
      <c r="K58" t="str">
        <f>IF($A58="","",IF($O58&gt;=$G58,"Delivered",IFERROR(LOOKUP(2,1/(WIPLog!$C$2:$C$1000=$A58),WIPLog!$F$2:$F$1000),"Not Started")))</f>
        <v/>
      </c>
      <c r="L58" s="5" t="str">
        <f>IF($A58="","",SUMIFS(WIPLog!$H:$H,WIPLog!$C:$C,$A58))</f>
        <v/>
      </c>
      <c r="M58" s="5" t="str">
        <f>IF($A58="","",SUMIFS(WIPLog!$I:$I,WIPLog!$C:$C,$A58))</f>
        <v/>
      </c>
      <c r="N58" s="5" t="str">
        <f>IF($A58="","",SUMIFS(WIPLog!$K:$K,WIPLog!$C:$C,$A58))</f>
        <v/>
      </c>
      <c r="O58" s="5" t="str">
        <f>IF($A58="","",SUMIFS('Delivery Log'!$E:$E,'Delivery Log'!$B:$B,$A58))</f>
        <v/>
      </c>
      <c r="P58" s="5" t="str">
        <f t="shared" si="0"/>
        <v/>
      </c>
      <c r="Q58" t="str">
        <f t="shared" si="1"/>
        <v/>
      </c>
    </row>
    <row r="59" spans="7:17">
      <c r="G59" s="5"/>
      <c r="H59" s="4"/>
      <c r="I59" s="4"/>
      <c r="K59" t="str">
        <f>IF($A59="","",IF($O59&gt;=$G59,"Delivered",IFERROR(LOOKUP(2,1/(WIPLog!$C$2:$C$1000=$A59),WIPLog!$F$2:$F$1000),"Not Started")))</f>
        <v/>
      </c>
      <c r="L59" s="5" t="str">
        <f>IF($A59="","",SUMIFS(WIPLog!$H:$H,WIPLog!$C:$C,$A59))</f>
        <v/>
      </c>
      <c r="M59" s="5" t="str">
        <f>IF($A59="","",SUMIFS(WIPLog!$I:$I,WIPLog!$C:$C,$A59))</f>
        <v/>
      </c>
      <c r="N59" s="5" t="str">
        <f>IF($A59="","",SUMIFS(WIPLog!$K:$K,WIPLog!$C:$C,$A59))</f>
        <v/>
      </c>
      <c r="O59" s="5" t="str">
        <f>IF($A59="","",SUMIFS('Delivery Log'!$E:$E,'Delivery Log'!$B:$B,$A59))</f>
        <v/>
      </c>
      <c r="P59" s="5" t="str">
        <f t="shared" si="0"/>
        <v/>
      </c>
      <c r="Q59" t="str">
        <f t="shared" si="1"/>
        <v/>
      </c>
    </row>
    <row r="60" spans="7:17">
      <c r="G60" s="5"/>
      <c r="H60" s="4"/>
      <c r="I60" s="4"/>
      <c r="K60" t="str">
        <f>IF($A60="","",IF($O60&gt;=$G60,"Delivered",IFERROR(LOOKUP(2,1/(WIPLog!$C$2:$C$1000=$A60),WIPLog!$F$2:$F$1000),"Not Started")))</f>
        <v/>
      </c>
      <c r="L60" s="5" t="str">
        <f>IF($A60="","",SUMIFS(WIPLog!$H:$H,WIPLog!$C:$C,$A60))</f>
        <v/>
      </c>
      <c r="M60" s="5" t="str">
        <f>IF($A60="","",SUMIFS(WIPLog!$I:$I,WIPLog!$C:$C,$A60))</f>
        <v/>
      </c>
      <c r="N60" s="5" t="str">
        <f>IF($A60="","",SUMIFS(WIPLog!$K:$K,WIPLog!$C:$C,$A60))</f>
        <v/>
      </c>
      <c r="O60" s="5" t="str">
        <f>IF($A60="","",SUMIFS('Delivery Log'!$E:$E,'Delivery Log'!$B:$B,$A60))</f>
        <v/>
      </c>
      <c r="P60" s="5" t="str">
        <f t="shared" si="0"/>
        <v/>
      </c>
      <c r="Q60" t="str">
        <f t="shared" si="1"/>
        <v/>
      </c>
    </row>
    <row r="61" spans="7:17">
      <c r="G61" s="5"/>
      <c r="H61" s="4"/>
      <c r="I61" s="4"/>
      <c r="K61" t="str">
        <f>IF($A61="","",IF($O61&gt;=$G61,"Delivered",IFERROR(LOOKUP(2,1/(WIPLog!$C$2:$C$1000=$A61),WIPLog!$F$2:$F$1000),"Not Started")))</f>
        <v/>
      </c>
      <c r="L61" s="5" t="str">
        <f>IF($A61="","",SUMIFS(WIPLog!$H:$H,WIPLog!$C:$C,$A61))</f>
        <v/>
      </c>
      <c r="M61" s="5" t="str">
        <f>IF($A61="","",SUMIFS(WIPLog!$I:$I,WIPLog!$C:$C,$A61))</f>
        <v/>
      </c>
      <c r="N61" s="5" t="str">
        <f>IF($A61="","",SUMIFS(WIPLog!$K:$K,WIPLog!$C:$C,$A61))</f>
        <v/>
      </c>
      <c r="O61" s="5" t="str">
        <f>IF($A61="","",SUMIFS('Delivery Log'!$E:$E,'Delivery Log'!$B:$B,$A61))</f>
        <v/>
      </c>
      <c r="P61" s="5" t="str">
        <f t="shared" si="0"/>
        <v/>
      </c>
      <c r="Q61" t="str">
        <f t="shared" si="1"/>
        <v/>
      </c>
    </row>
    <row r="62" spans="7:17">
      <c r="G62" s="5"/>
      <c r="H62" s="4"/>
      <c r="I62" s="4"/>
      <c r="K62" t="str">
        <f>IF($A62="","",IF($O62&gt;=$G62,"Delivered",IFERROR(LOOKUP(2,1/(WIPLog!$C$2:$C$1000=$A62),WIPLog!$F$2:$F$1000),"Not Started")))</f>
        <v/>
      </c>
      <c r="L62" s="5" t="str">
        <f>IF($A62="","",SUMIFS(WIPLog!$H:$H,WIPLog!$C:$C,$A62))</f>
        <v/>
      </c>
      <c r="M62" s="5" t="str">
        <f>IF($A62="","",SUMIFS(WIPLog!$I:$I,WIPLog!$C:$C,$A62))</f>
        <v/>
      </c>
      <c r="N62" s="5" t="str">
        <f>IF($A62="","",SUMIFS(WIPLog!$K:$K,WIPLog!$C:$C,$A62))</f>
        <v/>
      </c>
      <c r="O62" s="5" t="str">
        <f>IF($A62="","",SUMIFS('Delivery Log'!$E:$E,'Delivery Log'!$B:$B,$A62))</f>
        <v/>
      </c>
      <c r="P62" s="5" t="str">
        <f t="shared" si="0"/>
        <v/>
      </c>
      <c r="Q62" t="str">
        <f t="shared" si="1"/>
        <v/>
      </c>
    </row>
    <row r="63" spans="7:17">
      <c r="G63" s="5"/>
      <c r="H63" s="4"/>
      <c r="I63" s="4"/>
      <c r="K63" t="str">
        <f>IF($A63="","",IF($O63&gt;=$G63,"Delivered",IFERROR(LOOKUP(2,1/(WIPLog!$C$2:$C$1000=$A63),WIPLog!$F$2:$F$1000),"Not Started")))</f>
        <v/>
      </c>
      <c r="L63" s="5" t="str">
        <f>IF($A63="","",SUMIFS(WIPLog!$H:$H,WIPLog!$C:$C,$A63))</f>
        <v/>
      </c>
      <c r="M63" s="5" t="str">
        <f>IF($A63="","",SUMIFS(WIPLog!$I:$I,WIPLog!$C:$C,$A63))</f>
        <v/>
      </c>
      <c r="N63" s="5" t="str">
        <f>IF($A63="","",SUMIFS(WIPLog!$K:$K,WIPLog!$C:$C,$A63))</f>
        <v/>
      </c>
      <c r="O63" s="5" t="str">
        <f>IF($A63="","",SUMIFS('Delivery Log'!$E:$E,'Delivery Log'!$B:$B,$A63))</f>
        <v/>
      </c>
      <c r="P63" s="5" t="str">
        <f t="shared" si="0"/>
        <v/>
      </c>
      <c r="Q63" t="str">
        <f t="shared" si="1"/>
        <v/>
      </c>
    </row>
    <row r="64" spans="7:17">
      <c r="G64" s="5"/>
      <c r="H64" s="4"/>
      <c r="I64" s="4"/>
      <c r="K64" t="str">
        <f>IF($A64="","",IF($O64&gt;=$G64,"Delivered",IFERROR(LOOKUP(2,1/(WIPLog!$C$2:$C$1000=$A64),WIPLog!$F$2:$F$1000),"Not Started")))</f>
        <v/>
      </c>
      <c r="L64" s="5" t="str">
        <f>IF($A64="","",SUMIFS(WIPLog!$H:$H,WIPLog!$C:$C,$A64))</f>
        <v/>
      </c>
      <c r="M64" s="5" t="str">
        <f>IF($A64="","",SUMIFS(WIPLog!$I:$I,WIPLog!$C:$C,$A64))</f>
        <v/>
      </c>
      <c r="N64" s="5" t="str">
        <f>IF($A64="","",SUMIFS(WIPLog!$K:$K,WIPLog!$C:$C,$A64))</f>
        <v/>
      </c>
      <c r="O64" s="5" t="str">
        <f>IF($A64="","",SUMIFS('Delivery Log'!$E:$E,'Delivery Log'!$B:$B,$A64))</f>
        <v/>
      </c>
      <c r="P64" s="5" t="str">
        <f t="shared" si="0"/>
        <v/>
      </c>
      <c r="Q64" t="str">
        <f t="shared" si="1"/>
        <v/>
      </c>
    </row>
    <row r="65" spans="7:17">
      <c r="G65" s="5"/>
      <c r="H65" s="4"/>
      <c r="I65" s="4"/>
      <c r="K65" t="str">
        <f>IF($A65="","",IF($O65&gt;=$G65,"Delivered",IFERROR(LOOKUP(2,1/(WIPLog!$C$2:$C$1000=$A65),WIPLog!$F$2:$F$1000),"Not Started")))</f>
        <v/>
      </c>
      <c r="L65" s="5" t="str">
        <f>IF($A65="","",SUMIFS(WIPLog!$H:$H,WIPLog!$C:$C,$A65))</f>
        <v/>
      </c>
      <c r="M65" s="5" t="str">
        <f>IF($A65="","",SUMIFS(WIPLog!$I:$I,WIPLog!$C:$C,$A65))</f>
        <v/>
      </c>
      <c r="N65" s="5" t="str">
        <f>IF($A65="","",SUMIFS(WIPLog!$K:$K,WIPLog!$C:$C,$A65))</f>
        <v/>
      </c>
      <c r="O65" s="5" t="str">
        <f>IF($A65="","",SUMIFS('Delivery Log'!$E:$E,'Delivery Log'!$B:$B,$A65))</f>
        <v/>
      </c>
      <c r="P65" s="5" t="str">
        <f t="shared" si="0"/>
        <v/>
      </c>
      <c r="Q65" t="str">
        <f t="shared" si="1"/>
        <v/>
      </c>
    </row>
    <row r="66" spans="7:17">
      <c r="G66" s="5"/>
      <c r="H66" s="4"/>
      <c r="I66" s="4"/>
      <c r="K66" t="str">
        <f>IF($A66="","",IF($O66&gt;=$G66,"Delivered",IFERROR(LOOKUP(2,1/(WIPLog!$C$2:$C$1000=$A66),WIPLog!$F$2:$F$1000),"Not Started")))</f>
        <v/>
      </c>
      <c r="L66" s="5" t="str">
        <f>IF($A66="","",SUMIFS(WIPLog!$H:$H,WIPLog!$C:$C,$A66))</f>
        <v/>
      </c>
      <c r="M66" s="5" t="str">
        <f>IF($A66="","",SUMIFS(WIPLog!$I:$I,WIPLog!$C:$C,$A66))</f>
        <v/>
      </c>
      <c r="N66" s="5" t="str">
        <f>IF($A66="","",SUMIFS(WIPLog!$K:$K,WIPLog!$C:$C,$A66))</f>
        <v/>
      </c>
      <c r="O66" s="5" t="str">
        <f>IF($A66="","",SUMIFS('Delivery Log'!$E:$E,'Delivery Log'!$B:$B,$A66))</f>
        <v/>
      </c>
      <c r="P66" s="5" t="str">
        <f t="shared" ref="P66:P129" si="2">IF($A66="","",MAX(0,$G66-$O66-$N66))</f>
        <v/>
      </c>
      <c r="Q66" t="str">
        <f t="shared" ref="Q66:Q129" si="3">IF($A66="","",IF($O66&gt;=$G66,"Delivered",IF($O66&gt;0,"Partial",IF($P66=0,"Closed","Open"))))</f>
        <v/>
      </c>
    </row>
    <row r="67" spans="7:17">
      <c r="G67" s="5"/>
      <c r="H67" s="4"/>
      <c r="I67" s="4"/>
      <c r="K67" t="str">
        <f>IF($A67="","",IF($O67&gt;=$G67,"Delivered",IFERROR(LOOKUP(2,1/(WIPLog!$C$2:$C$1000=$A67),WIPLog!$F$2:$F$1000),"Not Started")))</f>
        <v/>
      </c>
      <c r="L67" s="5" t="str">
        <f>IF($A67="","",SUMIFS(WIPLog!$H:$H,WIPLog!$C:$C,$A67))</f>
        <v/>
      </c>
      <c r="M67" s="5" t="str">
        <f>IF($A67="","",SUMIFS(WIPLog!$I:$I,WIPLog!$C:$C,$A67))</f>
        <v/>
      </c>
      <c r="N67" s="5" t="str">
        <f>IF($A67="","",SUMIFS(WIPLog!$K:$K,WIPLog!$C:$C,$A67))</f>
        <v/>
      </c>
      <c r="O67" s="5" t="str">
        <f>IF($A67="","",SUMIFS('Delivery Log'!$E:$E,'Delivery Log'!$B:$B,$A67))</f>
        <v/>
      </c>
      <c r="P67" s="5" t="str">
        <f t="shared" si="2"/>
        <v/>
      </c>
      <c r="Q67" t="str">
        <f t="shared" si="3"/>
        <v/>
      </c>
    </row>
    <row r="68" spans="7:17">
      <c r="G68" s="5"/>
      <c r="H68" s="4"/>
      <c r="I68" s="4"/>
      <c r="K68" t="str">
        <f>IF($A68="","",IF($O68&gt;=$G68,"Delivered",IFERROR(LOOKUP(2,1/(WIPLog!$C$2:$C$1000=$A68),WIPLog!$F$2:$F$1000),"Not Started")))</f>
        <v/>
      </c>
      <c r="L68" s="5" t="str">
        <f>IF($A68="","",SUMIFS(WIPLog!$H:$H,WIPLog!$C:$C,$A68))</f>
        <v/>
      </c>
      <c r="M68" s="5" t="str">
        <f>IF($A68="","",SUMIFS(WIPLog!$I:$I,WIPLog!$C:$C,$A68))</f>
        <v/>
      </c>
      <c r="N68" s="5" t="str">
        <f>IF($A68="","",SUMIFS(WIPLog!$K:$K,WIPLog!$C:$C,$A68))</f>
        <v/>
      </c>
      <c r="O68" s="5" t="str">
        <f>IF($A68="","",SUMIFS('Delivery Log'!$E:$E,'Delivery Log'!$B:$B,$A68))</f>
        <v/>
      </c>
      <c r="P68" s="5" t="str">
        <f t="shared" si="2"/>
        <v/>
      </c>
      <c r="Q68" t="str">
        <f t="shared" si="3"/>
        <v/>
      </c>
    </row>
    <row r="69" spans="7:17">
      <c r="G69" s="5"/>
      <c r="H69" s="4"/>
      <c r="I69" s="4"/>
      <c r="K69" t="str">
        <f>IF($A69="","",IF($O69&gt;=$G69,"Delivered",IFERROR(LOOKUP(2,1/(WIPLog!$C$2:$C$1000=$A69),WIPLog!$F$2:$F$1000),"Not Started")))</f>
        <v/>
      </c>
      <c r="L69" s="5" t="str">
        <f>IF($A69="","",SUMIFS(WIPLog!$H:$H,WIPLog!$C:$C,$A69))</f>
        <v/>
      </c>
      <c r="M69" s="5" t="str">
        <f>IF($A69="","",SUMIFS(WIPLog!$I:$I,WIPLog!$C:$C,$A69))</f>
        <v/>
      </c>
      <c r="N69" s="5" t="str">
        <f>IF($A69="","",SUMIFS(WIPLog!$K:$K,WIPLog!$C:$C,$A69))</f>
        <v/>
      </c>
      <c r="O69" s="5" t="str">
        <f>IF($A69="","",SUMIFS('Delivery Log'!$E:$E,'Delivery Log'!$B:$B,$A69))</f>
        <v/>
      </c>
      <c r="P69" s="5" t="str">
        <f t="shared" si="2"/>
        <v/>
      </c>
      <c r="Q69" t="str">
        <f t="shared" si="3"/>
        <v/>
      </c>
    </row>
    <row r="70" spans="7:17">
      <c r="G70" s="5"/>
      <c r="H70" s="4"/>
      <c r="I70" s="4"/>
      <c r="K70" t="str">
        <f>IF($A70="","",IF($O70&gt;=$G70,"Delivered",IFERROR(LOOKUP(2,1/(WIPLog!$C$2:$C$1000=$A70),WIPLog!$F$2:$F$1000),"Not Started")))</f>
        <v/>
      </c>
      <c r="L70" s="5" t="str">
        <f>IF($A70="","",SUMIFS(WIPLog!$H:$H,WIPLog!$C:$C,$A70))</f>
        <v/>
      </c>
      <c r="M70" s="5" t="str">
        <f>IF($A70="","",SUMIFS(WIPLog!$I:$I,WIPLog!$C:$C,$A70))</f>
        <v/>
      </c>
      <c r="N70" s="5" t="str">
        <f>IF($A70="","",SUMIFS(WIPLog!$K:$K,WIPLog!$C:$C,$A70))</f>
        <v/>
      </c>
      <c r="O70" s="5" t="str">
        <f>IF($A70="","",SUMIFS('Delivery Log'!$E:$E,'Delivery Log'!$B:$B,$A70))</f>
        <v/>
      </c>
      <c r="P70" s="5" t="str">
        <f t="shared" si="2"/>
        <v/>
      </c>
      <c r="Q70" t="str">
        <f t="shared" si="3"/>
        <v/>
      </c>
    </row>
    <row r="71" spans="7:17">
      <c r="G71" s="5"/>
      <c r="H71" s="4"/>
      <c r="I71" s="4"/>
      <c r="K71" t="str">
        <f>IF($A71="","",IF($O71&gt;=$G71,"Delivered",IFERROR(LOOKUP(2,1/(WIPLog!$C$2:$C$1000=$A71),WIPLog!$F$2:$F$1000),"Not Started")))</f>
        <v/>
      </c>
      <c r="L71" s="5" t="str">
        <f>IF($A71="","",SUMIFS(WIPLog!$H:$H,WIPLog!$C:$C,$A71))</f>
        <v/>
      </c>
      <c r="M71" s="5" t="str">
        <f>IF($A71="","",SUMIFS(WIPLog!$I:$I,WIPLog!$C:$C,$A71))</f>
        <v/>
      </c>
      <c r="N71" s="5" t="str">
        <f>IF($A71="","",SUMIFS(WIPLog!$K:$K,WIPLog!$C:$C,$A71))</f>
        <v/>
      </c>
      <c r="O71" s="5" t="str">
        <f>IF($A71="","",SUMIFS('Delivery Log'!$E:$E,'Delivery Log'!$B:$B,$A71))</f>
        <v/>
      </c>
      <c r="P71" s="5" t="str">
        <f t="shared" si="2"/>
        <v/>
      </c>
      <c r="Q71" t="str">
        <f t="shared" si="3"/>
        <v/>
      </c>
    </row>
    <row r="72" spans="7:17">
      <c r="G72" s="5"/>
      <c r="H72" s="4"/>
      <c r="I72" s="4"/>
      <c r="K72" t="str">
        <f>IF($A72="","",IF($O72&gt;=$G72,"Delivered",IFERROR(LOOKUP(2,1/(WIPLog!$C$2:$C$1000=$A72),WIPLog!$F$2:$F$1000),"Not Started")))</f>
        <v/>
      </c>
      <c r="L72" s="5" t="str">
        <f>IF($A72="","",SUMIFS(WIPLog!$H:$H,WIPLog!$C:$C,$A72))</f>
        <v/>
      </c>
      <c r="M72" s="5" t="str">
        <f>IF($A72="","",SUMIFS(WIPLog!$I:$I,WIPLog!$C:$C,$A72))</f>
        <v/>
      </c>
      <c r="N72" s="5" t="str">
        <f>IF($A72="","",SUMIFS(WIPLog!$K:$K,WIPLog!$C:$C,$A72))</f>
        <v/>
      </c>
      <c r="O72" s="5" t="str">
        <f>IF($A72="","",SUMIFS('Delivery Log'!$E:$E,'Delivery Log'!$B:$B,$A72))</f>
        <v/>
      </c>
      <c r="P72" s="5" t="str">
        <f t="shared" si="2"/>
        <v/>
      </c>
      <c r="Q72" t="str">
        <f t="shared" si="3"/>
        <v/>
      </c>
    </row>
    <row r="73" spans="7:17">
      <c r="G73" s="5"/>
      <c r="H73" s="4"/>
      <c r="I73" s="4"/>
      <c r="K73" t="str">
        <f>IF($A73="","",IF($O73&gt;=$G73,"Delivered",IFERROR(LOOKUP(2,1/(WIPLog!$C$2:$C$1000=$A73),WIPLog!$F$2:$F$1000),"Not Started")))</f>
        <v/>
      </c>
      <c r="L73" s="5" t="str">
        <f>IF($A73="","",SUMIFS(WIPLog!$H:$H,WIPLog!$C:$C,$A73))</f>
        <v/>
      </c>
      <c r="M73" s="5" t="str">
        <f>IF($A73="","",SUMIFS(WIPLog!$I:$I,WIPLog!$C:$C,$A73))</f>
        <v/>
      </c>
      <c r="N73" s="5" t="str">
        <f>IF($A73="","",SUMIFS(WIPLog!$K:$K,WIPLog!$C:$C,$A73))</f>
        <v/>
      </c>
      <c r="O73" s="5" t="str">
        <f>IF($A73="","",SUMIFS('Delivery Log'!$E:$E,'Delivery Log'!$B:$B,$A73))</f>
        <v/>
      </c>
      <c r="P73" s="5" t="str">
        <f t="shared" si="2"/>
        <v/>
      </c>
      <c r="Q73" t="str">
        <f t="shared" si="3"/>
        <v/>
      </c>
    </row>
    <row r="74" spans="7:17">
      <c r="G74" s="5"/>
      <c r="H74" s="4"/>
      <c r="I74" s="4"/>
      <c r="K74" t="str">
        <f>IF($A74="","",IF($O74&gt;=$G74,"Delivered",IFERROR(LOOKUP(2,1/(WIPLog!$C$2:$C$1000=$A74),WIPLog!$F$2:$F$1000),"Not Started")))</f>
        <v/>
      </c>
      <c r="L74" s="5" t="str">
        <f>IF($A74="","",SUMIFS(WIPLog!$H:$H,WIPLog!$C:$C,$A74))</f>
        <v/>
      </c>
      <c r="M74" s="5" t="str">
        <f>IF($A74="","",SUMIFS(WIPLog!$I:$I,WIPLog!$C:$C,$A74))</f>
        <v/>
      </c>
      <c r="N74" s="5" t="str">
        <f>IF($A74="","",SUMIFS(WIPLog!$K:$K,WIPLog!$C:$C,$A74))</f>
        <v/>
      </c>
      <c r="O74" s="5" t="str">
        <f>IF($A74="","",SUMIFS('Delivery Log'!$E:$E,'Delivery Log'!$B:$B,$A74))</f>
        <v/>
      </c>
      <c r="P74" s="5" t="str">
        <f t="shared" si="2"/>
        <v/>
      </c>
      <c r="Q74" t="str">
        <f t="shared" si="3"/>
        <v/>
      </c>
    </row>
    <row r="75" spans="7:17">
      <c r="G75" s="5"/>
      <c r="H75" s="4"/>
      <c r="I75" s="4"/>
      <c r="K75" t="str">
        <f>IF($A75="","",IF($O75&gt;=$G75,"Delivered",IFERROR(LOOKUP(2,1/(WIPLog!$C$2:$C$1000=$A75),WIPLog!$F$2:$F$1000),"Not Started")))</f>
        <v/>
      </c>
      <c r="L75" s="5" t="str">
        <f>IF($A75="","",SUMIFS(WIPLog!$H:$H,WIPLog!$C:$C,$A75))</f>
        <v/>
      </c>
      <c r="M75" s="5" t="str">
        <f>IF($A75="","",SUMIFS(WIPLog!$I:$I,WIPLog!$C:$C,$A75))</f>
        <v/>
      </c>
      <c r="N75" s="5" t="str">
        <f>IF($A75="","",SUMIFS(WIPLog!$K:$K,WIPLog!$C:$C,$A75))</f>
        <v/>
      </c>
      <c r="O75" s="5" t="str">
        <f>IF($A75="","",SUMIFS('Delivery Log'!$E:$E,'Delivery Log'!$B:$B,$A75))</f>
        <v/>
      </c>
      <c r="P75" s="5" t="str">
        <f t="shared" si="2"/>
        <v/>
      </c>
      <c r="Q75" t="str">
        <f t="shared" si="3"/>
        <v/>
      </c>
    </row>
    <row r="76" spans="7:17">
      <c r="G76" s="5"/>
      <c r="H76" s="4"/>
      <c r="I76" s="4"/>
      <c r="K76" t="str">
        <f>IF($A76="","",IF($O76&gt;=$G76,"Delivered",IFERROR(LOOKUP(2,1/(WIPLog!$C$2:$C$1000=$A76),WIPLog!$F$2:$F$1000),"Not Started")))</f>
        <v/>
      </c>
      <c r="L76" s="5" t="str">
        <f>IF($A76="","",SUMIFS(WIPLog!$H:$H,WIPLog!$C:$C,$A76))</f>
        <v/>
      </c>
      <c r="M76" s="5" t="str">
        <f>IF($A76="","",SUMIFS(WIPLog!$I:$I,WIPLog!$C:$C,$A76))</f>
        <v/>
      </c>
      <c r="N76" s="5" t="str">
        <f>IF($A76="","",SUMIFS(WIPLog!$K:$K,WIPLog!$C:$C,$A76))</f>
        <v/>
      </c>
      <c r="O76" s="5" t="str">
        <f>IF($A76="","",SUMIFS('Delivery Log'!$E:$E,'Delivery Log'!$B:$B,$A76))</f>
        <v/>
      </c>
      <c r="P76" s="5" t="str">
        <f t="shared" si="2"/>
        <v/>
      </c>
      <c r="Q76" t="str">
        <f t="shared" si="3"/>
        <v/>
      </c>
    </row>
    <row r="77" spans="7:17">
      <c r="G77" s="5"/>
      <c r="H77" s="4"/>
      <c r="I77" s="4"/>
      <c r="K77" t="str">
        <f>IF($A77="","",IF($O77&gt;=$G77,"Delivered",IFERROR(LOOKUP(2,1/(WIPLog!$C$2:$C$1000=$A77),WIPLog!$F$2:$F$1000),"Not Started")))</f>
        <v/>
      </c>
      <c r="L77" s="5" t="str">
        <f>IF($A77="","",SUMIFS(WIPLog!$H:$H,WIPLog!$C:$C,$A77))</f>
        <v/>
      </c>
      <c r="M77" s="5" t="str">
        <f>IF($A77="","",SUMIFS(WIPLog!$I:$I,WIPLog!$C:$C,$A77))</f>
        <v/>
      </c>
      <c r="N77" s="5" t="str">
        <f>IF($A77="","",SUMIFS(WIPLog!$K:$K,WIPLog!$C:$C,$A77))</f>
        <v/>
      </c>
      <c r="O77" s="5" t="str">
        <f>IF($A77="","",SUMIFS('Delivery Log'!$E:$E,'Delivery Log'!$B:$B,$A77))</f>
        <v/>
      </c>
      <c r="P77" s="5" t="str">
        <f t="shared" si="2"/>
        <v/>
      </c>
      <c r="Q77" t="str">
        <f t="shared" si="3"/>
        <v/>
      </c>
    </row>
    <row r="78" spans="7:17">
      <c r="G78" s="5"/>
      <c r="H78" s="4"/>
      <c r="I78" s="4"/>
      <c r="K78" t="str">
        <f>IF($A78="","",IF($O78&gt;=$G78,"Delivered",IFERROR(LOOKUP(2,1/(WIPLog!$C$2:$C$1000=$A78),WIPLog!$F$2:$F$1000),"Not Started")))</f>
        <v/>
      </c>
      <c r="L78" s="5" t="str">
        <f>IF($A78="","",SUMIFS(WIPLog!$H:$H,WIPLog!$C:$C,$A78))</f>
        <v/>
      </c>
      <c r="M78" s="5" t="str">
        <f>IF($A78="","",SUMIFS(WIPLog!$I:$I,WIPLog!$C:$C,$A78))</f>
        <v/>
      </c>
      <c r="N78" s="5" t="str">
        <f>IF($A78="","",SUMIFS(WIPLog!$K:$K,WIPLog!$C:$C,$A78))</f>
        <v/>
      </c>
      <c r="O78" s="5" t="str">
        <f>IF($A78="","",SUMIFS('Delivery Log'!$E:$E,'Delivery Log'!$B:$B,$A78))</f>
        <v/>
      </c>
      <c r="P78" s="5" t="str">
        <f t="shared" si="2"/>
        <v/>
      </c>
      <c r="Q78" t="str">
        <f t="shared" si="3"/>
        <v/>
      </c>
    </row>
    <row r="79" spans="7:17">
      <c r="G79" s="5"/>
      <c r="H79" s="4"/>
      <c r="I79" s="4"/>
      <c r="K79" t="str">
        <f>IF($A79="","",IF($O79&gt;=$G79,"Delivered",IFERROR(LOOKUP(2,1/(WIPLog!$C$2:$C$1000=$A79),WIPLog!$F$2:$F$1000),"Not Started")))</f>
        <v/>
      </c>
      <c r="L79" s="5" t="str">
        <f>IF($A79="","",SUMIFS(WIPLog!$H:$H,WIPLog!$C:$C,$A79))</f>
        <v/>
      </c>
      <c r="M79" s="5" t="str">
        <f>IF($A79="","",SUMIFS(WIPLog!$I:$I,WIPLog!$C:$C,$A79))</f>
        <v/>
      </c>
      <c r="N79" s="5" t="str">
        <f>IF($A79="","",SUMIFS(WIPLog!$K:$K,WIPLog!$C:$C,$A79))</f>
        <v/>
      </c>
      <c r="O79" s="5" t="str">
        <f>IF($A79="","",SUMIFS('Delivery Log'!$E:$E,'Delivery Log'!$B:$B,$A79))</f>
        <v/>
      </c>
      <c r="P79" s="5" t="str">
        <f t="shared" si="2"/>
        <v/>
      </c>
      <c r="Q79" t="str">
        <f t="shared" si="3"/>
        <v/>
      </c>
    </row>
    <row r="80" spans="7:17">
      <c r="G80" s="5"/>
      <c r="H80" s="4"/>
      <c r="I80" s="4"/>
      <c r="K80" t="str">
        <f>IF($A80="","",IF($O80&gt;=$G80,"Delivered",IFERROR(LOOKUP(2,1/(WIPLog!$C$2:$C$1000=$A80),WIPLog!$F$2:$F$1000),"Not Started")))</f>
        <v/>
      </c>
      <c r="L80" s="5" t="str">
        <f>IF($A80="","",SUMIFS(WIPLog!$H:$H,WIPLog!$C:$C,$A80))</f>
        <v/>
      </c>
      <c r="M80" s="5" t="str">
        <f>IF($A80="","",SUMIFS(WIPLog!$I:$I,WIPLog!$C:$C,$A80))</f>
        <v/>
      </c>
      <c r="N80" s="5" t="str">
        <f>IF($A80="","",SUMIFS(WIPLog!$K:$K,WIPLog!$C:$C,$A80))</f>
        <v/>
      </c>
      <c r="O80" s="5" t="str">
        <f>IF($A80="","",SUMIFS('Delivery Log'!$E:$E,'Delivery Log'!$B:$B,$A80))</f>
        <v/>
      </c>
      <c r="P80" s="5" t="str">
        <f t="shared" si="2"/>
        <v/>
      </c>
      <c r="Q80" t="str">
        <f t="shared" si="3"/>
        <v/>
      </c>
    </row>
    <row r="81" spans="7:17">
      <c r="G81" s="5"/>
      <c r="H81" s="4"/>
      <c r="I81" s="4"/>
      <c r="K81" t="str">
        <f>IF($A81="","",IF($O81&gt;=$G81,"Delivered",IFERROR(LOOKUP(2,1/(WIPLog!$C$2:$C$1000=$A81),WIPLog!$F$2:$F$1000),"Not Started")))</f>
        <v/>
      </c>
      <c r="L81" s="5" t="str">
        <f>IF($A81="","",SUMIFS(WIPLog!$H:$H,WIPLog!$C:$C,$A81))</f>
        <v/>
      </c>
      <c r="M81" s="5" t="str">
        <f>IF($A81="","",SUMIFS(WIPLog!$I:$I,WIPLog!$C:$C,$A81))</f>
        <v/>
      </c>
      <c r="N81" s="5" t="str">
        <f>IF($A81="","",SUMIFS(WIPLog!$K:$K,WIPLog!$C:$C,$A81))</f>
        <v/>
      </c>
      <c r="O81" s="5" t="str">
        <f>IF($A81="","",SUMIFS('Delivery Log'!$E:$E,'Delivery Log'!$B:$B,$A81))</f>
        <v/>
      </c>
      <c r="P81" s="5" t="str">
        <f t="shared" si="2"/>
        <v/>
      </c>
      <c r="Q81" t="str">
        <f t="shared" si="3"/>
        <v/>
      </c>
    </row>
    <row r="82" spans="7:17">
      <c r="G82" s="5"/>
      <c r="H82" s="4"/>
      <c r="I82" s="4"/>
      <c r="K82" t="str">
        <f>IF($A82="","",IF($O82&gt;=$G82,"Delivered",IFERROR(LOOKUP(2,1/(WIPLog!$C$2:$C$1000=$A82),WIPLog!$F$2:$F$1000),"Not Started")))</f>
        <v/>
      </c>
      <c r="L82" s="5" t="str">
        <f>IF($A82="","",SUMIFS(WIPLog!$H:$H,WIPLog!$C:$C,$A82))</f>
        <v/>
      </c>
      <c r="M82" s="5" t="str">
        <f>IF($A82="","",SUMIFS(WIPLog!$I:$I,WIPLog!$C:$C,$A82))</f>
        <v/>
      </c>
      <c r="N82" s="5" t="str">
        <f>IF($A82="","",SUMIFS(WIPLog!$K:$K,WIPLog!$C:$C,$A82))</f>
        <v/>
      </c>
      <c r="O82" s="5" t="str">
        <f>IF($A82="","",SUMIFS('Delivery Log'!$E:$E,'Delivery Log'!$B:$B,$A82))</f>
        <v/>
      </c>
      <c r="P82" s="5" t="str">
        <f t="shared" si="2"/>
        <v/>
      </c>
      <c r="Q82" t="str">
        <f t="shared" si="3"/>
        <v/>
      </c>
    </row>
    <row r="83" spans="7:17">
      <c r="G83" s="5"/>
      <c r="H83" s="4"/>
      <c r="I83" s="4"/>
      <c r="K83" t="str">
        <f>IF($A83="","",IF($O83&gt;=$G83,"Delivered",IFERROR(LOOKUP(2,1/(WIPLog!$C$2:$C$1000=$A83),WIPLog!$F$2:$F$1000),"Not Started")))</f>
        <v/>
      </c>
      <c r="L83" s="5" t="str">
        <f>IF($A83="","",SUMIFS(WIPLog!$H:$H,WIPLog!$C:$C,$A83))</f>
        <v/>
      </c>
      <c r="M83" s="5" t="str">
        <f>IF($A83="","",SUMIFS(WIPLog!$I:$I,WIPLog!$C:$C,$A83))</f>
        <v/>
      </c>
      <c r="N83" s="5" t="str">
        <f>IF($A83="","",SUMIFS(WIPLog!$K:$K,WIPLog!$C:$C,$A83))</f>
        <v/>
      </c>
      <c r="O83" s="5" t="str">
        <f>IF($A83="","",SUMIFS('Delivery Log'!$E:$E,'Delivery Log'!$B:$B,$A83))</f>
        <v/>
      </c>
      <c r="P83" s="5" t="str">
        <f t="shared" si="2"/>
        <v/>
      </c>
      <c r="Q83" t="str">
        <f t="shared" si="3"/>
        <v/>
      </c>
    </row>
    <row r="84" spans="7:17">
      <c r="G84" s="5"/>
      <c r="H84" s="4"/>
      <c r="I84" s="4"/>
      <c r="K84" t="str">
        <f>IF($A84="","",IF($O84&gt;=$G84,"Delivered",IFERROR(LOOKUP(2,1/(WIPLog!$C$2:$C$1000=$A84),WIPLog!$F$2:$F$1000),"Not Started")))</f>
        <v/>
      </c>
      <c r="L84" s="5" t="str">
        <f>IF($A84="","",SUMIFS(WIPLog!$H:$H,WIPLog!$C:$C,$A84))</f>
        <v/>
      </c>
      <c r="M84" s="5" t="str">
        <f>IF($A84="","",SUMIFS(WIPLog!$I:$I,WIPLog!$C:$C,$A84))</f>
        <v/>
      </c>
      <c r="N84" s="5" t="str">
        <f>IF($A84="","",SUMIFS(WIPLog!$K:$K,WIPLog!$C:$C,$A84))</f>
        <v/>
      </c>
      <c r="O84" s="5" t="str">
        <f>IF($A84="","",SUMIFS('Delivery Log'!$E:$E,'Delivery Log'!$B:$B,$A84))</f>
        <v/>
      </c>
      <c r="P84" s="5" t="str">
        <f t="shared" si="2"/>
        <v/>
      </c>
      <c r="Q84" t="str">
        <f t="shared" si="3"/>
        <v/>
      </c>
    </row>
    <row r="85" spans="7:17">
      <c r="G85" s="5"/>
      <c r="H85" s="4"/>
      <c r="I85" s="4"/>
      <c r="K85" t="str">
        <f>IF($A85="","",IF($O85&gt;=$G85,"Delivered",IFERROR(LOOKUP(2,1/(WIPLog!$C$2:$C$1000=$A85),WIPLog!$F$2:$F$1000),"Not Started")))</f>
        <v/>
      </c>
      <c r="L85" s="5" t="str">
        <f>IF($A85="","",SUMIFS(WIPLog!$H:$H,WIPLog!$C:$C,$A85))</f>
        <v/>
      </c>
      <c r="M85" s="5" t="str">
        <f>IF($A85="","",SUMIFS(WIPLog!$I:$I,WIPLog!$C:$C,$A85))</f>
        <v/>
      </c>
      <c r="N85" s="5" t="str">
        <f>IF($A85="","",SUMIFS(WIPLog!$K:$K,WIPLog!$C:$C,$A85))</f>
        <v/>
      </c>
      <c r="O85" s="5" t="str">
        <f>IF($A85="","",SUMIFS('Delivery Log'!$E:$E,'Delivery Log'!$B:$B,$A85))</f>
        <v/>
      </c>
      <c r="P85" s="5" t="str">
        <f t="shared" si="2"/>
        <v/>
      </c>
      <c r="Q85" t="str">
        <f t="shared" si="3"/>
        <v/>
      </c>
    </row>
    <row r="86" spans="7:17">
      <c r="G86" s="5"/>
      <c r="H86" s="4"/>
      <c r="I86" s="4"/>
      <c r="K86" t="str">
        <f>IF($A86="","",IF($O86&gt;=$G86,"Delivered",IFERROR(LOOKUP(2,1/(WIPLog!$C$2:$C$1000=$A86),WIPLog!$F$2:$F$1000),"Not Started")))</f>
        <v/>
      </c>
      <c r="L86" s="5" t="str">
        <f>IF($A86="","",SUMIFS(WIPLog!$H:$H,WIPLog!$C:$C,$A86))</f>
        <v/>
      </c>
      <c r="M86" s="5" t="str">
        <f>IF($A86="","",SUMIFS(WIPLog!$I:$I,WIPLog!$C:$C,$A86))</f>
        <v/>
      </c>
      <c r="N86" s="5" t="str">
        <f>IF($A86="","",SUMIFS(WIPLog!$K:$K,WIPLog!$C:$C,$A86))</f>
        <v/>
      </c>
      <c r="O86" s="5" t="str">
        <f>IF($A86="","",SUMIFS('Delivery Log'!$E:$E,'Delivery Log'!$B:$B,$A86))</f>
        <v/>
      </c>
      <c r="P86" s="5" t="str">
        <f t="shared" si="2"/>
        <v/>
      </c>
      <c r="Q86" t="str">
        <f t="shared" si="3"/>
        <v/>
      </c>
    </row>
    <row r="87" spans="7:17">
      <c r="G87" s="5"/>
      <c r="H87" s="4"/>
      <c r="I87" s="4"/>
      <c r="K87" t="str">
        <f>IF($A87="","",IF($O87&gt;=$G87,"Delivered",IFERROR(LOOKUP(2,1/(WIPLog!$C$2:$C$1000=$A87),WIPLog!$F$2:$F$1000),"Not Started")))</f>
        <v/>
      </c>
      <c r="L87" s="5" t="str">
        <f>IF($A87="","",SUMIFS(WIPLog!$H:$H,WIPLog!$C:$C,$A87))</f>
        <v/>
      </c>
      <c r="M87" s="5" t="str">
        <f>IF($A87="","",SUMIFS(WIPLog!$I:$I,WIPLog!$C:$C,$A87))</f>
        <v/>
      </c>
      <c r="N87" s="5" t="str">
        <f>IF($A87="","",SUMIFS(WIPLog!$K:$K,WIPLog!$C:$C,$A87))</f>
        <v/>
      </c>
      <c r="O87" s="5" t="str">
        <f>IF($A87="","",SUMIFS('Delivery Log'!$E:$E,'Delivery Log'!$B:$B,$A87))</f>
        <v/>
      </c>
      <c r="P87" s="5" t="str">
        <f t="shared" si="2"/>
        <v/>
      </c>
      <c r="Q87" t="str">
        <f t="shared" si="3"/>
        <v/>
      </c>
    </row>
    <row r="88" spans="7:17">
      <c r="G88" s="5"/>
      <c r="H88" s="4"/>
      <c r="I88" s="4"/>
      <c r="K88" t="str">
        <f>IF($A88="","",IF($O88&gt;=$G88,"Delivered",IFERROR(LOOKUP(2,1/(WIPLog!$C$2:$C$1000=$A88),WIPLog!$F$2:$F$1000),"Not Started")))</f>
        <v/>
      </c>
      <c r="L88" s="5" t="str">
        <f>IF($A88="","",SUMIFS(WIPLog!$H:$H,WIPLog!$C:$C,$A88))</f>
        <v/>
      </c>
      <c r="M88" s="5" t="str">
        <f>IF($A88="","",SUMIFS(WIPLog!$I:$I,WIPLog!$C:$C,$A88))</f>
        <v/>
      </c>
      <c r="N88" s="5" t="str">
        <f>IF($A88="","",SUMIFS(WIPLog!$K:$K,WIPLog!$C:$C,$A88))</f>
        <v/>
      </c>
      <c r="O88" s="5" t="str">
        <f>IF($A88="","",SUMIFS('Delivery Log'!$E:$E,'Delivery Log'!$B:$B,$A88))</f>
        <v/>
      </c>
      <c r="P88" s="5" t="str">
        <f t="shared" si="2"/>
        <v/>
      </c>
      <c r="Q88" t="str">
        <f t="shared" si="3"/>
        <v/>
      </c>
    </row>
    <row r="89" spans="7:17">
      <c r="G89" s="5"/>
      <c r="H89" s="4"/>
      <c r="I89" s="4"/>
      <c r="K89" t="str">
        <f>IF($A89="","",IF($O89&gt;=$G89,"Delivered",IFERROR(LOOKUP(2,1/(WIPLog!$C$2:$C$1000=$A89),WIPLog!$F$2:$F$1000),"Not Started")))</f>
        <v/>
      </c>
      <c r="L89" s="5" t="str">
        <f>IF($A89="","",SUMIFS(WIPLog!$H:$H,WIPLog!$C:$C,$A89))</f>
        <v/>
      </c>
      <c r="M89" s="5" t="str">
        <f>IF($A89="","",SUMIFS(WIPLog!$I:$I,WIPLog!$C:$C,$A89))</f>
        <v/>
      </c>
      <c r="N89" s="5" t="str">
        <f>IF($A89="","",SUMIFS(WIPLog!$K:$K,WIPLog!$C:$C,$A89))</f>
        <v/>
      </c>
      <c r="O89" s="5" t="str">
        <f>IF($A89="","",SUMIFS('Delivery Log'!$E:$E,'Delivery Log'!$B:$B,$A89))</f>
        <v/>
      </c>
      <c r="P89" s="5" t="str">
        <f t="shared" si="2"/>
        <v/>
      </c>
      <c r="Q89" t="str">
        <f t="shared" si="3"/>
        <v/>
      </c>
    </row>
    <row r="90" spans="7:17">
      <c r="G90" s="5"/>
      <c r="H90" s="4"/>
      <c r="I90" s="4"/>
      <c r="K90" t="str">
        <f>IF($A90="","",IF($O90&gt;=$G90,"Delivered",IFERROR(LOOKUP(2,1/(WIPLog!$C$2:$C$1000=$A90),WIPLog!$F$2:$F$1000),"Not Started")))</f>
        <v/>
      </c>
      <c r="L90" s="5" t="str">
        <f>IF($A90="","",SUMIFS(WIPLog!$H:$H,WIPLog!$C:$C,$A90))</f>
        <v/>
      </c>
      <c r="M90" s="5" t="str">
        <f>IF($A90="","",SUMIFS(WIPLog!$I:$I,WIPLog!$C:$C,$A90))</f>
        <v/>
      </c>
      <c r="N90" s="5" t="str">
        <f>IF($A90="","",SUMIFS(WIPLog!$K:$K,WIPLog!$C:$C,$A90))</f>
        <v/>
      </c>
      <c r="O90" s="5" t="str">
        <f>IF($A90="","",SUMIFS('Delivery Log'!$E:$E,'Delivery Log'!$B:$B,$A90))</f>
        <v/>
      </c>
      <c r="P90" s="5" t="str">
        <f t="shared" si="2"/>
        <v/>
      </c>
      <c r="Q90" t="str">
        <f t="shared" si="3"/>
        <v/>
      </c>
    </row>
    <row r="91" spans="7:17">
      <c r="G91" s="5"/>
      <c r="H91" s="4"/>
      <c r="I91" s="4"/>
      <c r="K91" t="str">
        <f>IF($A91="","",IF($O91&gt;=$G91,"Delivered",IFERROR(LOOKUP(2,1/(WIPLog!$C$2:$C$1000=$A91),WIPLog!$F$2:$F$1000),"Not Started")))</f>
        <v/>
      </c>
      <c r="L91" s="5" t="str">
        <f>IF($A91="","",SUMIFS(WIPLog!$H:$H,WIPLog!$C:$C,$A91))</f>
        <v/>
      </c>
      <c r="M91" s="5" t="str">
        <f>IF($A91="","",SUMIFS(WIPLog!$I:$I,WIPLog!$C:$C,$A91))</f>
        <v/>
      </c>
      <c r="N91" s="5" t="str">
        <f>IF($A91="","",SUMIFS(WIPLog!$K:$K,WIPLog!$C:$C,$A91))</f>
        <v/>
      </c>
      <c r="O91" s="5" t="str">
        <f>IF($A91="","",SUMIFS('Delivery Log'!$E:$E,'Delivery Log'!$B:$B,$A91))</f>
        <v/>
      </c>
      <c r="P91" s="5" t="str">
        <f t="shared" si="2"/>
        <v/>
      </c>
      <c r="Q91" t="str">
        <f t="shared" si="3"/>
        <v/>
      </c>
    </row>
    <row r="92" spans="7:17">
      <c r="G92" s="5"/>
      <c r="H92" s="4"/>
      <c r="I92" s="4"/>
      <c r="K92" t="str">
        <f>IF($A92="","",IF($O92&gt;=$G92,"Delivered",IFERROR(LOOKUP(2,1/(WIPLog!$C$2:$C$1000=$A92),WIPLog!$F$2:$F$1000),"Not Started")))</f>
        <v/>
      </c>
      <c r="L92" s="5" t="str">
        <f>IF($A92="","",SUMIFS(WIPLog!$H:$H,WIPLog!$C:$C,$A92))</f>
        <v/>
      </c>
      <c r="M92" s="5" t="str">
        <f>IF($A92="","",SUMIFS(WIPLog!$I:$I,WIPLog!$C:$C,$A92))</f>
        <v/>
      </c>
      <c r="N92" s="5" t="str">
        <f>IF($A92="","",SUMIFS(WIPLog!$K:$K,WIPLog!$C:$C,$A92))</f>
        <v/>
      </c>
      <c r="O92" s="5" t="str">
        <f>IF($A92="","",SUMIFS('Delivery Log'!$E:$E,'Delivery Log'!$B:$B,$A92))</f>
        <v/>
      </c>
      <c r="P92" s="5" t="str">
        <f t="shared" si="2"/>
        <v/>
      </c>
      <c r="Q92" t="str">
        <f t="shared" si="3"/>
        <v/>
      </c>
    </row>
    <row r="93" spans="7:17">
      <c r="G93" s="5"/>
      <c r="H93" s="4"/>
      <c r="I93" s="4"/>
      <c r="K93" t="str">
        <f>IF($A93="","",IF($O93&gt;=$G93,"Delivered",IFERROR(LOOKUP(2,1/(WIPLog!$C$2:$C$1000=$A93),WIPLog!$F$2:$F$1000),"Not Started")))</f>
        <v/>
      </c>
      <c r="L93" s="5" t="str">
        <f>IF($A93="","",SUMIFS(WIPLog!$H:$H,WIPLog!$C:$C,$A93))</f>
        <v/>
      </c>
      <c r="M93" s="5" t="str">
        <f>IF($A93="","",SUMIFS(WIPLog!$I:$I,WIPLog!$C:$C,$A93))</f>
        <v/>
      </c>
      <c r="N93" s="5" t="str">
        <f>IF($A93="","",SUMIFS(WIPLog!$K:$K,WIPLog!$C:$C,$A93))</f>
        <v/>
      </c>
      <c r="O93" s="5" t="str">
        <f>IF($A93="","",SUMIFS('Delivery Log'!$E:$E,'Delivery Log'!$B:$B,$A93))</f>
        <v/>
      </c>
      <c r="P93" s="5" t="str">
        <f t="shared" si="2"/>
        <v/>
      </c>
      <c r="Q93" t="str">
        <f t="shared" si="3"/>
        <v/>
      </c>
    </row>
    <row r="94" spans="7:17">
      <c r="G94" s="5"/>
      <c r="H94" s="4"/>
      <c r="I94" s="4"/>
      <c r="K94" t="str">
        <f>IF($A94="","",IF($O94&gt;=$G94,"Delivered",IFERROR(LOOKUP(2,1/(WIPLog!$C$2:$C$1000=$A94),WIPLog!$F$2:$F$1000),"Not Started")))</f>
        <v/>
      </c>
      <c r="L94" s="5" t="str">
        <f>IF($A94="","",SUMIFS(WIPLog!$H:$H,WIPLog!$C:$C,$A94))</f>
        <v/>
      </c>
      <c r="M94" s="5" t="str">
        <f>IF($A94="","",SUMIFS(WIPLog!$I:$I,WIPLog!$C:$C,$A94))</f>
        <v/>
      </c>
      <c r="N94" s="5" t="str">
        <f>IF($A94="","",SUMIFS(WIPLog!$K:$K,WIPLog!$C:$C,$A94))</f>
        <v/>
      </c>
      <c r="O94" s="5" t="str">
        <f>IF($A94="","",SUMIFS('Delivery Log'!$E:$E,'Delivery Log'!$B:$B,$A94))</f>
        <v/>
      </c>
      <c r="P94" s="5" t="str">
        <f t="shared" si="2"/>
        <v/>
      </c>
      <c r="Q94" t="str">
        <f t="shared" si="3"/>
        <v/>
      </c>
    </row>
    <row r="95" spans="7:17">
      <c r="G95" s="5"/>
      <c r="H95" s="4"/>
      <c r="I95" s="4"/>
      <c r="K95" t="str">
        <f>IF($A95="","",IF($O95&gt;=$G95,"Delivered",IFERROR(LOOKUP(2,1/(WIPLog!$C$2:$C$1000=$A95),WIPLog!$F$2:$F$1000),"Not Started")))</f>
        <v/>
      </c>
      <c r="L95" s="5" t="str">
        <f>IF($A95="","",SUMIFS(WIPLog!$H:$H,WIPLog!$C:$C,$A95))</f>
        <v/>
      </c>
      <c r="M95" s="5" t="str">
        <f>IF($A95="","",SUMIFS(WIPLog!$I:$I,WIPLog!$C:$C,$A95))</f>
        <v/>
      </c>
      <c r="N95" s="5" t="str">
        <f>IF($A95="","",SUMIFS(WIPLog!$K:$K,WIPLog!$C:$C,$A95))</f>
        <v/>
      </c>
      <c r="O95" s="5" t="str">
        <f>IF($A95="","",SUMIFS('Delivery Log'!$E:$E,'Delivery Log'!$B:$B,$A95))</f>
        <v/>
      </c>
      <c r="P95" s="5" t="str">
        <f t="shared" si="2"/>
        <v/>
      </c>
      <c r="Q95" t="str">
        <f t="shared" si="3"/>
        <v/>
      </c>
    </row>
    <row r="96" spans="7:17">
      <c r="G96" s="5"/>
      <c r="H96" s="4"/>
      <c r="I96" s="4"/>
      <c r="K96" t="str">
        <f>IF($A96="","",IF($O96&gt;=$G96,"Delivered",IFERROR(LOOKUP(2,1/(WIPLog!$C$2:$C$1000=$A96),WIPLog!$F$2:$F$1000),"Not Started")))</f>
        <v/>
      </c>
      <c r="L96" s="5" t="str">
        <f>IF($A96="","",SUMIFS(WIPLog!$H:$H,WIPLog!$C:$C,$A96))</f>
        <v/>
      </c>
      <c r="M96" s="5" t="str">
        <f>IF($A96="","",SUMIFS(WIPLog!$I:$I,WIPLog!$C:$C,$A96))</f>
        <v/>
      </c>
      <c r="N96" s="5" t="str">
        <f>IF($A96="","",SUMIFS(WIPLog!$K:$K,WIPLog!$C:$C,$A96))</f>
        <v/>
      </c>
      <c r="O96" s="5" t="str">
        <f>IF($A96="","",SUMIFS('Delivery Log'!$E:$E,'Delivery Log'!$B:$B,$A96))</f>
        <v/>
      </c>
      <c r="P96" s="5" t="str">
        <f t="shared" si="2"/>
        <v/>
      </c>
      <c r="Q96" t="str">
        <f t="shared" si="3"/>
        <v/>
      </c>
    </row>
    <row r="97" spans="7:17">
      <c r="G97" s="5"/>
      <c r="H97" s="4"/>
      <c r="I97" s="4"/>
      <c r="K97" t="str">
        <f>IF($A97="","",IF($O97&gt;=$G97,"Delivered",IFERROR(LOOKUP(2,1/(WIPLog!$C$2:$C$1000=$A97),WIPLog!$F$2:$F$1000),"Not Started")))</f>
        <v/>
      </c>
      <c r="L97" s="5" t="str">
        <f>IF($A97="","",SUMIFS(WIPLog!$H:$H,WIPLog!$C:$C,$A97))</f>
        <v/>
      </c>
      <c r="M97" s="5" t="str">
        <f>IF($A97="","",SUMIFS(WIPLog!$I:$I,WIPLog!$C:$C,$A97))</f>
        <v/>
      </c>
      <c r="N97" s="5" t="str">
        <f>IF($A97="","",SUMIFS(WIPLog!$K:$K,WIPLog!$C:$C,$A97))</f>
        <v/>
      </c>
      <c r="O97" s="5" t="str">
        <f>IF($A97="","",SUMIFS('Delivery Log'!$E:$E,'Delivery Log'!$B:$B,$A97))</f>
        <v/>
      </c>
      <c r="P97" s="5" t="str">
        <f t="shared" si="2"/>
        <v/>
      </c>
      <c r="Q97" t="str">
        <f t="shared" si="3"/>
        <v/>
      </c>
    </row>
    <row r="98" spans="7:17">
      <c r="G98" s="5"/>
      <c r="H98" s="4"/>
      <c r="I98" s="4"/>
      <c r="K98" t="str">
        <f>IF($A98="","",IF($O98&gt;=$G98,"Delivered",IFERROR(LOOKUP(2,1/(WIPLog!$C$2:$C$1000=$A98),WIPLog!$F$2:$F$1000),"Not Started")))</f>
        <v/>
      </c>
      <c r="L98" s="5" t="str">
        <f>IF($A98="","",SUMIFS(WIPLog!$H:$H,WIPLog!$C:$C,$A98))</f>
        <v/>
      </c>
      <c r="M98" s="5" t="str">
        <f>IF($A98="","",SUMIFS(WIPLog!$I:$I,WIPLog!$C:$C,$A98))</f>
        <v/>
      </c>
      <c r="N98" s="5" t="str">
        <f>IF($A98="","",SUMIFS(WIPLog!$K:$K,WIPLog!$C:$C,$A98))</f>
        <v/>
      </c>
      <c r="O98" s="5" t="str">
        <f>IF($A98="","",SUMIFS('Delivery Log'!$E:$E,'Delivery Log'!$B:$B,$A98))</f>
        <v/>
      </c>
      <c r="P98" s="5" t="str">
        <f t="shared" si="2"/>
        <v/>
      </c>
      <c r="Q98" t="str">
        <f t="shared" si="3"/>
        <v/>
      </c>
    </row>
    <row r="99" spans="7:17">
      <c r="G99" s="5"/>
      <c r="H99" s="4"/>
      <c r="I99" s="4"/>
      <c r="K99" t="str">
        <f>IF($A99="","",IF($O99&gt;=$G99,"Delivered",IFERROR(LOOKUP(2,1/(WIPLog!$C$2:$C$1000=$A99),WIPLog!$F$2:$F$1000),"Not Started")))</f>
        <v/>
      </c>
      <c r="L99" s="5" t="str">
        <f>IF($A99="","",SUMIFS(WIPLog!$H:$H,WIPLog!$C:$C,$A99))</f>
        <v/>
      </c>
      <c r="M99" s="5" t="str">
        <f>IF($A99="","",SUMIFS(WIPLog!$I:$I,WIPLog!$C:$C,$A99))</f>
        <v/>
      </c>
      <c r="N99" s="5" t="str">
        <f>IF($A99="","",SUMIFS(WIPLog!$K:$K,WIPLog!$C:$C,$A99))</f>
        <v/>
      </c>
      <c r="O99" s="5" t="str">
        <f>IF($A99="","",SUMIFS('Delivery Log'!$E:$E,'Delivery Log'!$B:$B,$A99))</f>
        <v/>
      </c>
      <c r="P99" s="5" t="str">
        <f t="shared" si="2"/>
        <v/>
      </c>
      <c r="Q99" t="str">
        <f t="shared" si="3"/>
        <v/>
      </c>
    </row>
    <row r="100" spans="7:17">
      <c r="G100" s="5"/>
      <c r="H100" s="4"/>
      <c r="I100" s="4"/>
      <c r="K100" t="str">
        <f>IF($A100="","",IF($O100&gt;=$G100,"Delivered",IFERROR(LOOKUP(2,1/(WIPLog!$C$2:$C$1000=$A100),WIPLog!$F$2:$F$1000),"Not Started")))</f>
        <v/>
      </c>
      <c r="L100" s="5" t="str">
        <f>IF($A100="","",SUMIFS(WIPLog!$H:$H,WIPLog!$C:$C,$A100))</f>
        <v/>
      </c>
      <c r="M100" s="5" t="str">
        <f>IF($A100="","",SUMIFS(WIPLog!$I:$I,WIPLog!$C:$C,$A100))</f>
        <v/>
      </c>
      <c r="N100" s="5" t="str">
        <f>IF($A100="","",SUMIFS(WIPLog!$K:$K,WIPLog!$C:$C,$A100))</f>
        <v/>
      </c>
      <c r="O100" s="5" t="str">
        <f>IF($A100="","",SUMIFS('Delivery Log'!$E:$E,'Delivery Log'!$B:$B,$A100))</f>
        <v/>
      </c>
      <c r="P100" s="5" t="str">
        <f t="shared" si="2"/>
        <v/>
      </c>
      <c r="Q100" t="str">
        <f t="shared" si="3"/>
        <v/>
      </c>
    </row>
    <row r="101" spans="7:17">
      <c r="G101" s="5"/>
      <c r="H101" s="4"/>
      <c r="I101" s="4"/>
      <c r="K101" t="str">
        <f>IF($A101="","",IF($O101&gt;=$G101,"Delivered",IFERROR(LOOKUP(2,1/(WIPLog!$C$2:$C$1000=$A101),WIPLog!$F$2:$F$1000),"Not Started")))</f>
        <v/>
      </c>
      <c r="L101" s="5" t="str">
        <f>IF($A101="","",SUMIFS(WIPLog!$H:$H,WIPLog!$C:$C,$A101))</f>
        <v/>
      </c>
      <c r="M101" s="5" t="str">
        <f>IF($A101="","",SUMIFS(WIPLog!$I:$I,WIPLog!$C:$C,$A101))</f>
        <v/>
      </c>
      <c r="N101" s="5" t="str">
        <f>IF($A101="","",SUMIFS(WIPLog!$K:$K,WIPLog!$C:$C,$A101))</f>
        <v/>
      </c>
      <c r="O101" s="5" t="str">
        <f>IF($A101="","",SUMIFS('Delivery Log'!$E:$E,'Delivery Log'!$B:$B,$A101))</f>
        <v/>
      </c>
      <c r="P101" s="5" t="str">
        <f t="shared" si="2"/>
        <v/>
      </c>
      <c r="Q101" t="str">
        <f t="shared" si="3"/>
        <v/>
      </c>
    </row>
    <row r="102" spans="7:17">
      <c r="G102" s="5"/>
      <c r="H102" s="4"/>
      <c r="I102" s="4"/>
      <c r="K102" t="str">
        <f>IF($A102="","",IF($O102&gt;=$G102,"Delivered",IFERROR(LOOKUP(2,1/(WIPLog!$C$2:$C$1000=$A102),WIPLog!$F$2:$F$1000),"Not Started")))</f>
        <v/>
      </c>
      <c r="L102" s="5" t="str">
        <f>IF($A102="","",SUMIFS(WIPLog!$H:$H,WIPLog!$C:$C,$A102))</f>
        <v/>
      </c>
      <c r="M102" s="5" t="str">
        <f>IF($A102="","",SUMIFS(WIPLog!$I:$I,WIPLog!$C:$C,$A102))</f>
        <v/>
      </c>
      <c r="N102" s="5" t="str">
        <f>IF($A102="","",SUMIFS(WIPLog!$K:$K,WIPLog!$C:$C,$A102))</f>
        <v/>
      </c>
      <c r="O102" s="5" t="str">
        <f>IF($A102="","",SUMIFS('Delivery Log'!$E:$E,'Delivery Log'!$B:$B,$A102))</f>
        <v/>
      </c>
      <c r="P102" s="5" t="str">
        <f t="shared" si="2"/>
        <v/>
      </c>
      <c r="Q102" t="str">
        <f t="shared" si="3"/>
        <v/>
      </c>
    </row>
    <row r="103" spans="7:17">
      <c r="G103" s="5"/>
      <c r="H103" s="4"/>
      <c r="I103" s="4"/>
      <c r="K103" t="str">
        <f>IF($A103="","",IF($O103&gt;=$G103,"Delivered",IFERROR(LOOKUP(2,1/(WIPLog!$C$2:$C$1000=$A103),WIPLog!$F$2:$F$1000),"Not Started")))</f>
        <v/>
      </c>
      <c r="L103" s="5" t="str">
        <f>IF($A103="","",SUMIFS(WIPLog!$H:$H,WIPLog!$C:$C,$A103))</f>
        <v/>
      </c>
      <c r="M103" s="5" t="str">
        <f>IF($A103="","",SUMIFS(WIPLog!$I:$I,WIPLog!$C:$C,$A103))</f>
        <v/>
      </c>
      <c r="N103" s="5" t="str">
        <f>IF($A103="","",SUMIFS(WIPLog!$K:$K,WIPLog!$C:$C,$A103))</f>
        <v/>
      </c>
      <c r="O103" s="5" t="str">
        <f>IF($A103="","",SUMIFS('Delivery Log'!$E:$E,'Delivery Log'!$B:$B,$A103))</f>
        <v/>
      </c>
      <c r="P103" s="5" t="str">
        <f t="shared" si="2"/>
        <v/>
      </c>
      <c r="Q103" t="str">
        <f t="shared" si="3"/>
        <v/>
      </c>
    </row>
    <row r="104" spans="7:17">
      <c r="G104" s="5"/>
      <c r="H104" s="4"/>
      <c r="I104" s="4"/>
      <c r="K104" t="str">
        <f>IF($A104="","",IF($O104&gt;=$G104,"Delivered",IFERROR(LOOKUP(2,1/(WIPLog!$C$2:$C$1000=$A104),WIPLog!$F$2:$F$1000),"Not Started")))</f>
        <v/>
      </c>
      <c r="L104" s="5" t="str">
        <f>IF($A104="","",SUMIFS(WIPLog!$H:$H,WIPLog!$C:$C,$A104))</f>
        <v/>
      </c>
      <c r="M104" s="5" t="str">
        <f>IF($A104="","",SUMIFS(WIPLog!$I:$I,WIPLog!$C:$C,$A104))</f>
        <v/>
      </c>
      <c r="N104" s="5" t="str">
        <f>IF($A104="","",SUMIFS(WIPLog!$K:$K,WIPLog!$C:$C,$A104))</f>
        <v/>
      </c>
      <c r="O104" s="5" t="str">
        <f>IF($A104="","",SUMIFS('Delivery Log'!$E:$E,'Delivery Log'!$B:$B,$A104))</f>
        <v/>
      </c>
      <c r="P104" s="5" t="str">
        <f t="shared" si="2"/>
        <v/>
      </c>
      <c r="Q104" t="str">
        <f t="shared" si="3"/>
        <v/>
      </c>
    </row>
    <row r="105" spans="7:17">
      <c r="G105" s="5"/>
      <c r="H105" s="4"/>
      <c r="I105" s="4"/>
      <c r="K105" t="str">
        <f>IF($A105="","",IF($O105&gt;=$G105,"Delivered",IFERROR(LOOKUP(2,1/(WIPLog!$C$2:$C$1000=$A105),WIPLog!$F$2:$F$1000),"Not Started")))</f>
        <v/>
      </c>
      <c r="L105" s="5" t="str">
        <f>IF($A105="","",SUMIFS(WIPLog!$H:$H,WIPLog!$C:$C,$A105))</f>
        <v/>
      </c>
      <c r="M105" s="5" t="str">
        <f>IF($A105="","",SUMIFS(WIPLog!$I:$I,WIPLog!$C:$C,$A105))</f>
        <v/>
      </c>
      <c r="N105" s="5" t="str">
        <f>IF($A105="","",SUMIFS(WIPLog!$K:$K,WIPLog!$C:$C,$A105))</f>
        <v/>
      </c>
      <c r="O105" s="5" t="str">
        <f>IF($A105="","",SUMIFS('Delivery Log'!$E:$E,'Delivery Log'!$B:$B,$A105))</f>
        <v/>
      </c>
      <c r="P105" s="5" t="str">
        <f t="shared" si="2"/>
        <v/>
      </c>
      <c r="Q105" t="str">
        <f t="shared" si="3"/>
        <v/>
      </c>
    </row>
    <row r="106" spans="7:17">
      <c r="G106" s="5"/>
      <c r="H106" s="4"/>
      <c r="I106" s="4"/>
      <c r="K106" t="str">
        <f>IF($A106="","",IF($O106&gt;=$G106,"Delivered",IFERROR(LOOKUP(2,1/(WIPLog!$C$2:$C$1000=$A106),WIPLog!$F$2:$F$1000),"Not Started")))</f>
        <v/>
      </c>
      <c r="L106" s="5" t="str">
        <f>IF($A106="","",SUMIFS(WIPLog!$H:$H,WIPLog!$C:$C,$A106))</f>
        <v/>
      </c>
      <c r="M106" s="5" t="str">
        <f>IF($A106="","",SUMIFS(WIPLog!$I:$I,WIPLog!$C:$C,$A106))</f>
        <v/>
      </c>
      <c r="N106" s="5" t="str">
        <f>IF($A106="","",SUMIFS(WIPLog!$K:$K,WIPLog!$C:$C,$A106))</f>
        <v/>
      </c>
      <c r="O106" s="5" t="str">
        <f>IF($A106="","",SUMIFS('Delivery Log'!$E:$E,'Delivery Log'!$B:$B,$A106))</f>
        <v/>
      </c>
      <c r="P106" s="5" t="str">
        <f t="shared" si="2"/>
        <v/>
      </c>
      <c r="Q106" t="str">
        <f t="shared" si="3"/>
        <v/>
      </c>
    </row>
    <row r="107" spans="7:17">
      <c r="G107" s="5"/>
      <c r="H107" s="4"/>
      <c r="I107" s="4"/>
      <c r="K107" t="str">
        <f>IF($A107="","",IF($O107&gt;=$G107,"Delivered",IFERROR(LOOKUP(2,1/(WIPLog!$C$2:$C$1000=$A107),WIPLog!$F$2:$F$1000),"Not Started")))</f>
        <v/>
      </c>
      <c r="L107" s="5" t="str">
        <f>IF($A107="","",SUMIFS(WIPLog!$H:$H,WIPLog!$C:$C,$A107))</f>
        <v/>
      </c>
      <c r="M107" s="5" t="str">
        <f>IF($A107="","",SUMIFS(WIPLog!$I:$I,WIPLog!$C:$C,$A107))</f>
        <v/>
      </c>
      <c r="N107" s="5" t="str">
        <f>IF($A107="","",SUMIFS(WIPLog!$K:$K,WIPLog!$C:$C,$A107))</f>
        <v/>
      </c>
      <c r="O107" s="5" t="str">
        <f>IF($A107="","",SUMIFS('Delivery Log'!$E:$E,'Delivery Log'!$B:$B,$A107))</f>
        <v/>
      </c>
      <c r="P107" s="5" t="str">
        <f t="shared" si="2"/>
        <v/>
      </c>
      <c r="Q107" t="str">
        <f t="shared" si="3"/>
        <v/>
      </c>
    </row>
    <row r="108" spans="7:17">
      <c r="G108" s="5"/>
      <c r="H108" s="4"/>
      <c r="I108" s="4"/>
      <c r="K108" t="str">
        <f>IF($A108="","",IF($O108&gt;=$G108,"Delivered",IFERROR(LOOKUP(2,1/(WIPLog!$C$2:$C$1000=$A108),WIPLog!$F$2:$F$1000),"Not Started")))</f>
        <v/>
      </c>
      <c r="L108" s="5" t="str">
        <f>IF($A108="","",SUMIFS(WIPLog!$H:$H,WIPLog!$C:$C,$A108))</f>
        <v/>
      </c>
      <c r="M108" s="5" t="str">
        <f>IF($A108="","",SUMIFS(WIPLog!$I:$I,WIPLog!$C:$C,$A108))</f>
        <v/>
      </c>
      <c r="N108" s="5" t="str">
        <f>IF($A108="","",SUMIFS(WIPLog!$K:$K,WIPLog!$C:$C,$A108))</f>
        <v/>
      </c>
      <c r="O108" s="5" t="str">
        <f>IF($A108="","",SUMIFS('Delivery Log'!$E:$E,'Delivery Log'!$B:$B,$A108))</f>
        <v/>
      </c>
      <c r="P108" s="5" t="str">
        <f t="shared" si="2"/>
        <v/>
      </c>
      <c r="Q108" t="str">
        <f t="shared" si="3"/>
        <v/>
      </c>
    </row>
    <row r="109" spans="7:17">
      <c r="G109" s="5"/>
      <c r="H109" s="4"/>
      <c r="I109" s="4"/>
      <c r="K109" t="str">
        <f>IF($A109="","",IF($O109&gt;=$G109,"Delivered",IFERROR(LOOKUP(2,1/(WIPLog!$C$2:$C$1000=$A109),WIPLog!$F$2:$F$1000),"Not Started")))</f>
        <v/>
      </c>
      <c r="L109" s="5" t="str">
        <f>IF($A109="","",SUMIFS(WIPLog!$H:$H,WIPLog!$C:$C,$A109))</f>
        <v/>
      </c>
      <c r="M109" s="5" t="str">
        <f>IF($A109="","",SUMIFS(WIPLog!$I:$I,WIPLog!$C:$C,$A109))</f>
        <v/>
      </c>
      <c r="N109" s="5" t="str">
        <f>IF($A109="","",SUMIFS(WIPLog!$K:$K,WIPLog!$C:$C,$A109))</f>
        <v/>
      </c>
      <c r="O109" s="5" t="str">
        <f>IF($A109="","",SUMIFS('Delivery Log'!$E:$E,'Delivery Log'!$B:$B,$A109))</f>
        <v/>
      </c>
      <c r="P109" s="5" t="str">
        <f t="shared" si="2"/>
        <v/>
      </c>
      <c r="Q109" t="str">
        <f t="shared" si="3"/>
        <v/>
      </c>
    </row>
    <row r="110" spans="7:17">
      <c r="G110" s="5"/>
      <c r="H110" s="4"/>
      <c r="I110" s="4"/>
      <c r="K110" t="str">
        <f>IF($A110="","",IF($O110&gt;=$G110,"Delivered",IFERROR(LOOKUP(2,1/(WIPLog!$C$2:$C$1000=$A110),WIPLog!$F$2:$F$1000),"Not Started")))</f>
        <v/>
      </c>
      <c r="L110" s="5" t="str">
        <f>IF($A110="","",SUMIFS(WIPLog!$H:$H,WIPLog!$C:$C,$A110))</f>
        <v/>
      </c>
      <c r="M110" s="5" t="str">
        <f>IF($A110="","",SUMIFS(WIPLog!$I:$I,WIPLog!$C:$C,$A110))</f>
        <v/>
      </c>
      <c r="N110" s="5" t="str">
        <f>IF($A110="","",SUMIFS(WIPLog!$K:$K,WIPLog!$C:$C,$A110))</f>
        <v/>
      </c>
      <c r="O110" s="5" t="str">
        <f>IF($A110="","",SUMIFS('Delivery Log'!$E:$E,'Delivery Log'!$B:$B,$A110))</f>
        <v/>
      </c>
      <c r="P110" s="5" t="str">
        <f t="shared" si="2"/>
        <v/>
      </c>
      <c r="Q110" t="str">
        <f t="shared" si="3"/>
        <v/>
      </c>
    </row>
    <row r="111" spans="7:17">
      <c r="G111" s="5"/>
      <c r="H111" s="4"/>
      <c r="I111" s="4"/>
      <c r="K111" t="str">
        <f>IF($A111="","",IF($O111&gt;=$G111,"Delivered",IFERROR(LOOKUP(2,1/(WIPLog!$C$2:$C$1000=$A111),WIPLog!$F$2:$F$1000),"Not Started")))</f>
        <v/>
      </c>
      <c r="L111" s="5" t="str">
        <f>IF($A111="","",SUMIFS(WIPLog!$H:$H,WIPLog!$C:$C,$A111))</f>
        <v/>
      </c>
      <c r="M111" s="5" t="str">
        <f>IF($A111="","",SUMIFS(WIPLog!$I:$I,WIPLog!$C:$C,$A111))</f>
        <v/>
      </c>
      <c r="N111" s="5" t="str">
        <f>IF($A111="","",SUMIFS(WIPLog!$K:$K,WIPLog!$C:$C,$A111))</f>
        <v/>
      </c>
      <c r="O111" s="5" t="str">
        <f>IF($A111="","",SUMIFS('Delivery Log'!$E:$E,'Delivery Log'!$B:$B,$A111))</f>
        <v/>
      </c>
      <c r="P111" s="5" t="str">
        <f t="shared" si="2"/>
        <v/>
      </c>
      <c r="Q111" t="str">
        <f t="shared" si="3"/>
        <v/>
      </c>
    </row>
    <row r="112" spans="7:17">
      <c r="G112" s="5"/>
      <c r="H112" s="4"/>
      <c r="I112" s="4"/>
      <c r="K112" t="str">
        <f>IF($A112="","",IF($O112&gt;=$G112,"Delivered",IFERROR(LOOKUP(2,1/(WIPLog!$C$2:$C$1000=$A112),WIPLog!$F$2:$F$1000),"Not Started")))</f>
        <v/>
      </c>
      <c r="L112" s="5" t="str">
        <f>IF($A112="","",SUMIFS(WIPLog!$H:$H,WIPLog!$C:$C,$A112))</f>
        <v/>
      </c>
      <c r="M112" s="5" t="str">
        <f>IF($A112="","",SUMIFS(WIPLog!$I:$I,WIPLog!$C:$C,$A112))</f>
        <v/>
      </c>
      <c r="N112" s="5" t="str">
        <f>IF($A112="","",SUMIFS(WIPLog!$K:$K,WIPLog!$C:$C,$A112))</f>
        <v/>
      </c>
      <c r="O112" s="5" t="str">
        <f>IF($A112="","",SUMIFS('Delivery Log'!$E:$E,'Delivery Log'!$B:$B,$A112))</f>
        <v/>
      </c>
      <c r="P112" s="5" t="str">
        <f t="shared" si="2"/>
        <v/>
      </c>
      <c r="Q112" t="str">
        <f t="shared" si="3"/>
        <v/>
      </c>
    </row>
    <row r="113" spans="7:17">
      <c r="G113" s="5"/>
      <c r="H113" s="4"/>
      <c r="I113" s="4"/>
      <c r="K113" t="str">
        <f>IF($A113="","",IF($O113&gt;=$G113,"Delivered",IFERROR(LOOKUP(2,1/(WIPLog!$C$2:$C$1000=$A113),WIPLog!$F$2:$F$1000),"Not Started")))</f>
        <v/>
      </c>
      <c r="L113" s="5" t="str">
        <f>IF($A113="","",SUMIFS(WIPLog!$H:$H,WIPLog!$C:$C,$A113))</f>
        <v/>
      </c>
      <c r="M113" s="5" t="str">
        <f>IF($A113="","",SUMIFS(WIPLog!$I:$I,WIPLog!$C:$C,$A113))</f>
        <v/>
      </c>
      <c r="N113" s="5" t="str">
        <f>IF($A113="","",SUMIFS(WIPLog!$K:$K,WIPLog!$C:$C,$A113))</f>
        <v/>
      </c>
      <c r="O113" s="5" t="str">
        <f>IF($A113="","",SUMIFS('Delivery Log'!$E:$E,'Delivery Log'!$B:$B,$A113))</f>
        <v/>
      </c>
      <c r="P113" s="5" t="str">
        <f t="shared" si="2"/>
        <v/>
      </c>
      <c r="Q113" t="str">
        <f t="shared" si="3"/>
        <v/>
      </c>
    </row>
    <row r="114" spans="7:17">
      <c r="G114" s="5"/>
      <c r="H114" s="4"/>
      <c r="I114" s="4"/>
      <c r="K114" t="str">
        <f>IF($A114="","",IF($O114&gt;=$G114,"Delivered",IFERROR(LOOKUP(2,1/(WIPLog!$C$2:$C$1000=$A114),WIPLog!$F$2:$F$1000),"Not Started")))</f>
        <v/>
      </c>
      <c r="L114" s="5" t="str">
        <f>IF($A114="","",SUMIFS(WIPLog!$H:$H,WIPLog!$C:$C,$A114))</f>
        <v/>
      </c>
      <c r="M114" s="5" t="str">
        <f>IF($A114="","",SUMIFS(WIPLog!$I:$I,WIPLog!$C:$C,$A114))</f>
        <v/>
      </c>
      <c r="N114" s="5" t="str">
        <f>IF($A114="","",SUMIFS(WIPLog!$K:$K,WIPLog!$C:$C,$A114))</f>
        <v/>
      </c>
      <c r="O114" s="5" t="str">
        <f>IF($A114="","",SUMIFS('Delivery Log'!$E:$E,'Delivery Log'!$B:$B,$A114))</f>
        <v/>
      </c>
      <c r="P114" s="5" t="str">
        <f t="shared" si="2"/>
        <v/>
      </c>
      <c r="Q114" t="str">
        <f t="shared" si="3"/>
        <v/>
      </c>
    </row>
    <row r="115" spans="7:17">
      <c r="G115" s="5"/>
      <c r="H115" s="4"/>
      <c r="I115" s="4"/>
      <c r="K115" t="str">
        <f>IF($A115="","",IF($O115&gt;=$G115,"Delivered",IFERROR(LOOKUP(2,1/(WIPLog!$C$2:$C$1000=$A115),WIPLog!$F$2:$F$1000),"Not Started")))</f>
        <v/>
      </c>
      <c r="L115" s="5" t="str">
        <f>IF($A115="","",SUMIFS(WIPLog!$H:$H,WIPLog!$C:$C,$A115))</f>
        <v/>
      </c>
      <c r="M115" s="5" t="str">
        <f>IF($A115="","",SUMIFS(WIPLog!$I:$I,WIPLog!$C:$C,$A115))</f>
        <v/>
      </c>
      <c r="N115" s="5" t="str">
        <f>IF($A115="","",SUMIFS(WIPLog!$K:$K,WIPLog!$C:$C,$A115))</f>
        <v/>
      </c>
      <c r="O115" s="5" t="str">
        <f>IF($A115="","",SUMIFS('Delivery Log'!$E:$E,'Delivery Log'!$B:$B,$A115))</f>
        <v/>
      </c>
      <c r="P115" s="5" t="str">
        <f t="shared" si="2"/>
        <v/>
      </c>
      <c r="Q115" t="str">
        <f t="shared" si="3"/>
        <v/>
      </c>
    </row>
    <row r="116" spans="7:17">
      <c r="G116" s="5"/>
      <c r="H116" s="4"/>
      <c r="I116" s="4"/>
      <c r="K116" t="str">
        <f>IF($A116="","",IF($O116&gt;=$G116,"Delivered",IFERROR(LOOKUP(2,1/(WIPLog!$C$2:$C$1000=$A116),WIPLog!$F$2:$F$1000),"Not Started")))</f>
        <v/>
      </c>
      <c r="L116" s="5" t="str">
        <f>IF($A116="","",SUMIFS(WIPLog!$H:$H,WIPLog!$C:$C,$A116))</f>
        <v/>
      </c>
      <c r="M116" s="5" t="str">
        <f>IF($A116="","",SUMIFS(WIPLog!$I:$I,WIPLog!$C:$C,$A116))</f>
        <v/>
      </c>
      <c r="N116" s="5" t="str">
        <f>IF($A116="","",SUMIFS(WIPLog!$K:$K,WIPLog!$C:$C,$A116))</f>
        <v/>
      </c>
      <c r="O116" s="5" t="str">
        <f>IF($A116="","",SUMIFS('Delivery Log'!$E:$E,'Delivery Log'!$B:$B,$A116))</f>
        <v/>
      </c>
      <c r="P116" s="5" t="str">
        <f t="shared" si="2"/>
        <v/>
      </c>
      <c r="Q116" t="str">
        <f t="shared" si="3"/>
        <v/>
      </c>
    </row>
    <row r="117" spans="7:17">
      <c r="G117" s="5"/>
      <c r="H117" s="4"/>
      <c r="I117" s="4"/>
      <c r="K117" t="str">
        <f>IF($A117="","",IF($O117&gt;=$G117,"Delivered",IFERROR(LOOKUP(2,1/(WIPLog!$C$2:$C$1000=$A117),WIPLog!$F$2:$F$1000),"Not Started")))</f>
        <v/>
      </c>
      <c r="L117" s="5" t="str">
        <f>IF($A117="","",SUMIFS(WIPLog!$H:$H,WIPLog!$C:$C,$A117))</f>
        <v/>
      </c>
      <c r="M117" s="5" t="str">
        <f>IF($A117="","",SUMIFS(WIPLog!$I:$I,WIPLog!$C:$C,$A117))</f>
        <v/>
      </c>
      <c r="N117" s="5" t="str">
        <f>IF($A117="","",SUMIFS(WIPLog!$K:$K,WIPLog!$C:$C,$A117))</f>
        <v/>
      </c>
      <c r="O117" s="5" t="str">
        <f>IF($A117="","",SUMIFS('Delivery Log'!$E:$E,'Delivery Log'!$B:$B,$A117))</f>
        <v/>
      </c>
      <c r="P117" s="5" t="str">
        <f t="shared" si="2"/>
        <v/>
      </c>
      <c r="Q117" t="str">
        <f t="shared" si="3"/>
        <v/>
      </c>
    </row>
    <row r="118" spans="7:17">
      <c r="G118" s="5"/>
      <c r="H118" s="4"/>
      <c r="I118" s="4"/>
      <c r="K118" t="str">
        <f>IF($A118="","",IF($O118&gt;=$G118,"Delivered",IFERROR(LOOKUP(2,1/(WIPLog!$C$2:$C$1000=$A118),WIPLog!$F$2:$F$1000),"Not Started")))</f>
        <v/>
      </c>
      <c r="L118" s="5" t="str">
        <f>IF($A118="","",SUMIFS(WIPLog!$H:$H,WIPLog!$C:$C,$A118))</f>
        <v/>
      </c>
      <c r="M118" s="5" t="str">
        <f>IF($A118="","",SUMIFS(WIPLog!$I:$I,WIPLog!$C:$C,$A118))</f>
        <v/>
      </c>
      <c r="N118" s="5" t="str">
        <f>IF($A118="","",SUMIFS(WIPLog!$K:$K,WIPLog!$C:$C,$A118))</f>
        <v/>
      </c>
      <c r="O118" s="5" t="str">
        <f>IF($A118="","",SUMIFS('Delivery Log'!$E:$E,'Delivery Log'!$B:$B,$A118))</f>
        <v/>
      </c>
      <c r="P118" s="5" t="str">
        <f t="shared" si="2"/>
        <v/>
      </c>
      <c r="Q118" t="str">
        <f t="shared" si="3"/>
        <v/>
      </c>
    </row>
    <row r="119" spans="7:17">
      <c r="G119" s="5"/>
      <c r="H119" s="4"/>
      <c r="I119" s="4"/>
      <c r="K119" t="str">
        <f>IF($A119="","",IF($O119&gt;=$G119,"Delivered",IFERROR(LOOKUP(2,1/(WIPLog!$C$2:$C$1000=$A119),WIPLog!$F$2:$F$1000),"Not Started")))</f>
        <v/>
      </c>
      <c r="L119" s="5" t="str">
        <f>IF($A119="","",SUMIFS(WIPLog!$H:$H,WIPLog!$C:$C,$A119))</f>
        <v/>
      </c>
      <c r="M119" s="5" t="str">
        <f>IF($A119="","",SUMIFS(WIPLog!$I:$I,WIPLog!$C:$C,$A119))</f>
        <v/>
      </c>
      <c r="N119" s="5" t="str">
        <f>IF($A119="","",SUMIFS(WIPLog!$K:$K,WIPLog!$C:$C,$A119))</f>
        <v/>
      </c>
      <c r="O119" s="5" t="str">
        <f>IF($A119="","",SUMIFS('Delivery Log'!$E:$E,'Delivery Log'!$B:$B,$A119))</f>
        <v/>
      </c>
      <c r="P119" s="5" t="str">
        <f t="shared" si="2"/>
        <v/>
      </c>
      <c r="Q119" t="str">
        <f t="shared" si="3"/>
        <v/>
      </c>
    </row>
    <row r="120" spans="7:17">
      <c r="G120" s="5"/>
      <c r="H120" s="4"/>
      <c r="I120" s="4"/>
      <c r="K120" t="str">
        <f>IF($A120="","",IF($O120&gt;=$G120,"Delivered",IFERROR(LOOKUP(2,1/(WIPLog!$C$2:$C$1000=$A120),WIPLog!$F$2:$F$1000),"Not Started")))</f>
        <v/>
      </c>
      <c r="L120" s="5" t="str">
        <f>IF($A120="","",SUMIFS(WIPLog!$H:$H,WIPLog!$C:$C,$A120))</f>
        <v/>
      </c>
      <c r="M120" s="5" t="str">
        <f>IF($A120="","",SUMIFS(WIPLog!$I:$I,WIPLog!$C:$C,$A120))</f>
        <v/>
      </c>
      <c r="N120" s="5" t="str">
        <f>IF($A120="","",SUMIFS(WIPLog!$K:$K,WIPLog!$C:$C,$A120))</f>
        <v/>
      </c>
      <c r="O120" s="5" t="str">
        <f>IF($A120="","",SUMIFS('Delivery Log'!$E:$E,'Delivery Log'!$B:$B,$A120))</f>
        <v/>
      </c>
      <c r="P120" s="5" t="str">
        <f t="shared" si="2"/>
        <v/>
      </c>
      <c r="Q120" t="str">
        <f t="shared" si="3"/>
        <v/>
      </c>
    </row>
    <row r="121" spans="7:17">
      <c r="G121" s="5"/>
      <c r="H121" s="4"/>
      <c r="I121" s="4"/>
      <c r="K121" t="str">
        <f>IF($A121="","",IF($O121&gt;=$G121,"Delivered",IFERROR(LOOKUP(2,1/(WIPLog!$C$2:$C$1000=$A121),WIPLog!$F$2:$F$1000),"Not Started")))</f>
        <v/>
      </c>
      <c r="L121" s="5" t="str">
        <f>IF($A121="","",SUMIFS(WIPLog!$H:$H,WIPLog!$C:$C,$A121))</f>
        <v/>
      </c>
      <c r="M121" s="5" t="str">
        <f>IF($A121="","",SUMIFS(WIPLog!$I:$I,WIPLog!$C:$C,$A121))</f>
        <v/>
      </c>
      <c r="N121" s="5" t="str">
        <f>IF($A121="","",SUMIFS(WIPLog!$K:$K,WIPLog!$C:$C,$A121))</f>
        <v/>
      </c>
      <c r="O121" s="5" t="str">
        <f>IF($A121="","",SUMIFS('Delivery Log'!$E:$E,'Delivery Log'!$B:$B,$A121))</f>
        <v/>
      </c>
      <c r="P121" s="5" t="str">
        <f t="shared" si="2"/>
        <v/>
      </c>
      <c r="Q121" t="str">
        <f t="shared" si="3"/>
        <v/>
      </c>
    </row>
    <row r="122" spans="7:17">
      <c r="G122" s="5"/>
      <c r="H122" s="4"/>
      <c r="I122" s="4"/>
      <c r="K122" t="str">
        <f>IF($A122="","",IF($O122&gt;=$G122,"Delivered",IFERROR(LOOKUP(2,1/(WIPLog!$C$2:$C$1000=$A122),WIPLog!$F$2:$F$1000),"Not Started")))</f>
        <v/>
      </c>
      <c r="L122" s="5" t="str">
        <f>IF($A122="","",SUMIFS(WIPLog!$H:$H,WIPLog!$C:$C,$A122))</f>
        <v/>
      </c>
      <c r="M122" s="5" t="str">
        <f>IF($A122="","",SUMIFS(WIPLog!$I:$I,WIPLog!$C:$C,$A122))</f>
        <v/>
      </c>
      <c r="N122" s="5" t="str">
        <f>IF($A122="","",SUMIFS(WIPLog!$K:$K,WIPLog!$C:$C,$A122))</f>
        <v/>
      </c>
      <c r="O122" s="5" t="str">
        <f>IF($A122="","",SUMIFS('Delivery Log'!$E:$E,'Delivery Log'!$B:$B,$A122))</f>
        <v/>
      </c>
      <c r="P122" s="5" t="str">
        <f t="shared" si="2"/>
        <v/>
      </c>
      <c r="Q122" t="str">
        <f t="shared" si="3"/>
        <v/>
      </c>
    </row>
    <row r="123" spans="7:17">
      <c r="G123" s="5"/>
      <c r="H123" s="4"/>
      <c r="I123" s="4"/>
      <c r="K123" t="str">
        <f>IF($A123="","",IF($O123&gt;=$G123,"Delivered",IFERROR(LOOKUP(2,1/(WIPLog!$C$2:$C$1000=$A123),WIPLog!$F$2:$F$1000),"Not Started")))</f>
        <v/>
      </c>
      <c r="L123" s="5" t="str">
        <f>IF($A123="","",SUMIFS(WIPLog!$H:$H,WIPLog!$C:$C,$A123))</f>
        <v/>
      </c>
      <c r="M123" s="5" t="str">
        <f>IF($A123="","",SUMIFS(WIPLog!$I:$I,WIPLog!$C:$C,$A123))</f>
        <v/>
      </c>
      <c r="N123" s="5" t="str">
        <f>IF($A123="","",SUMIFS(WIPLog!$K:$K,WIPLog!$C:$C,$A123))</f>
        <v/>
      </c>
      <c r="O123" s="5" t="str">
        <f>IF($A123="","",SUMIFS('Delivery Log'!$E:$E,'Delivery Log'!$B:$B,$A123))</f>
        <v/>
      </c>
      <c r="P123" s="5" t="str">
        <f t="shared" si="2"/>
        <v/>
      </c>
      <c r="Q123" t="str">
        <f t="shared" si="3"/>
        <v/>
      </c>
    </row>
    <row r="124" spans="7:17">
      <c r="G124" s="5"/>
      <c r="H124" s="4"/>
      <c r="I124" s="4"/>
      <c r="K124" t="str">
        <f>IF($A124="","",IF($O124&gt;=$G124,"Delivered",IFERROR(LOOKUP(2,1/(WIPLog!$C$2:$C$1000=$A124),WIPLog!$F$2:$F$1000),"Not Started")))</f>
        <v/>
      </c>
      <c r="L124" s="5" t="str">
        <f>IF($A124="","",SUMIFS(WIPLog!$H:$H,WIPLog!$C:$C,$A124))</f>
        <v/>
      </c>
      <c r="M124" s="5" t="str">
        <f>IF($A124="","",SUMIFS(WIPLog!$I:$I,WIPLog!$C:$C,$A124))</f>
        <v/>
      </c>
      <c r="N124" s="5" t="str">
        <f>IF($A124="","",SUMIFS(WIPLog!$K:$K,WIPLog!$C:$C,$A124))</f>
        <v/>
      </c>
      <c r="O124" s="5" t="str">
        <f>IF($A124="","",SUMIFS('Delivery Log'!$E:$E,'Delivery Log'!$B:$B,$A124))</f>
        <v/>
      </c>
      <c r="P124" s="5" t="str">
        <f t="shared" si="2"/>
        <v/>
      </c>
      <c r="Q124" t="str">
        <f t="shared" si="3"/>
        <v/>
      </c>
    </row>
    <row r="125" spans="7:17">
      <c r="G125" s="5"/>
      <c r="H125" s="4"/>
      <c r="I125" s="4"/>
      <c r="K125" t="str">
        <f>IF($A125="","",IF($O125&gt;=$G125,"Delivered",IFERROR(LOOKUP(2,1/(WIPLog!$C$2:$C$1000=$A125),WIPLog!$F$2:$F$1000),"Not Started")))</f>
        <v/>
      </c>
      <c r="L125" s="5" t="str">
        <f>IF($A125="","",SUMIFS(WIPLog!$H:$H,WIPLog!$C:$C,$A125))</f>
        <v/>
      </c>
      <c r="M125" s="5" t="str">
        <f>IF($A125="","",SUMIFS(WIPLog!$I:$I,WIPLog!$C:$C,$A125))</f>
        <v/>
      </c>
      <c r="N125" s="5" t="str">
        <f>IF($A125="","",SUMIFS(WIPLog!$K:$K,WIPLog!$C:$C,$A125))</f>
        <v/>
      </c>
      <c r="O125" s="5" t="str">
        <f>IF($A125="","",SUMIFS('Delivery Log'!$E:$E,'Delivery Log'!$B:$B,$A125))</f>
        <v/>
      </c>
      <c r="P125" s="5" t="str">
        <f t="shared" si="2"/>
        <v/>
      </c>
      <c r="Q125" t="str">
        <f t="shared" si="3"/>
        <v/>
      </c>
    </row>
    <row r="126" spans="7:17">
      <c r="G126" s="5"/>
      <c r="H126" s="4"/>
      <c r="I126" s="4"/>
      <c r="K126" t="str">
        <f>IF($A126="","",IF($O126&gt;=$G126,"Delivered",IFERROR(LOOKUP(2,1/(WIPLog!$C$2:$C$1000=$A126),WIPLog!$F$2:$F$1000),"Not Started")))</f>
        <v/>
      </c>
      <c r="L126" s="5" t="str">
        <f>IF($A126="","",SUMIFS(WIPLog!$H:$H,WIPLog!$C:$C,$A126))</f>
        <v/>
      </c>
      <c r="M126" s="5" t="str">
        <f>IF($A126="","",SUMIFS(WIPLog!$I:$I,WIPLog!$C:$C,$A126))</f>
        <v/>
      </c>
      <c r="N126" s="5" t="str">
        <f>IF($A126="","",SUMIFS(WIPLog!$K:$K,WIPLog!$C:$C,$A126))</f>
        <v/>
      </c>
      <c r="O126" s="5" t="str">
        <f>IF($A126="","",SUMIFS('Delivery Log'!$E:$E,'Delivery Log'!$B:$B,$A126))</f>
        <v/>
      </c>
      <c r="P126" s="5" t="str">
        <f t="shared" si="2"/>
        <v/>
      </c>
      <c r="Q126" t="str">
        <f t="shared" si="3"/>
        <v/>
      </c>
    </row>
    <row r="127" spans="7:17">
      <c r="G127" s="5"/>
      <c r="H127" s="4"/>
      <c r="I127" s="4"/>
      <c r="K127" t="str">
        <f>IF($A127="","",IF($O127&gt;=$G127,"Delivered",IFERROR(LOOKUP(2,1/(WIPLog!$C$2:$C$1000=$A127),WIPLog!$F$2:$F$1000),"Not Started")))</f>
        <v/>
      </c>
      <c r="L127" s="5" t="str">
        <f>IF($A127="","",SUMIFS(WIPLog!$H:$H,WIPLog!$C:$C,$A127))</f>
        <v/>
      </c>
      <c r="M127" s="5" t="str">
        <f>IF($A127="","",SUMIFS(WIPLog!$I:$I,WIPLog!$C:$C,$A127))</f>
        <v/>
      </c>
      <c r="N127" s="5" t="str">
        <f>IF($A127="","",SUMIFS(WIPLog!$K:$K,WIPLog!$C:$C,$A127))</f>
        <v/>
      </c>
      <c r="O127" s="5" t="str">
        <f>IF($A127="","",SUMIFS('Delivery Log'!$E:$E,'Delivery Log'!$B:$B,$A127))</f>
        <v/>
      </c>
      <c r="P127" s="5" t="str">
        <f t="shared" si="2"/>
        <v/>
      </c>
      <c r="Q127" t="str">
        <f t="shared" si="3"/>
        <v/>
      </c>
    </row>
    <row r="128" spans="7:17">
      <c r="G128" s="5"/>
      <c r="H128" s="4"/>
      <c r="I128" s="4"/>
      <c r="K128" t="str">
        <f>IF($A128="","",IF($O128&gt;=$G128,"Delivered",IFERROR(LOOKUP(2,1/(WIPLog!$C$2:$C$1000=$A128),WIPLog!$F$2:$F$1000),"Not Started")))</f>
        <v/>
      </c>
      <c r="L128" s="5" t="str">
        <f>IF($A128="","",SUMIFS(WIPLog!$H:$H,WIPLog!$C:$C,$A128))</f>
        <v/>
      </c>
      <c r="M128" s="5" t="str">
        <f>IF($A128="","",SUMIFS(WIPLog!$I:$I,WIPLog!$C:$C,$A128))</f>
        <v/>
      </c>
      <c r="N128" s="5" t="str">
        <f>IF($A128="","",SUMIFS(WIPLog!$K:$K,WIPLog!$C:$C,$A128))</f>
        <v/>
      </c>
      <c r="O128" s="5" t="str">
        <f>IF($A128="","",SUMIFS('Delivery Log'!$E:$E,'Delivery Log'!$B:$B,$A128))</f>
        <v/>
      </c>
      <c r="P128" s="5" t="str">
        <f t="shared" si="2"/>
        <v/>
      </c>
      <c r="Q128" t="str">
        <f t="shared" si="3"/>
        <v/>
      </c>
    </row>
    <row r="129" spans="7:17">
      <c r="G129" s="5"/>
      <c r="H129" s="4"/>
      <c r="I129" s="4"/>
      <c r="K129" t="str">
        <f>IF($A129="","",IF($O129&gt;=$G129,"Delivered",IFERROR(LOOKUP(2,1/(WIPLog!$C$2:$C$1000=$A129),WIPLog!$F$2:$F$1000),"Not Started")))</f>
        <v/>
      </c>
      <c r="L129" s="5" t="str">
        <f>IF($A129="","",SUMIFS(WIPLog!$H:$H,WIPLog!$C:$C,$A129))</f>
        <v/>
      </c>
      <c r="M129" s="5" t="str">
        <f>IF($A129="","",SUMIFS(WIPLog!$I:$I,WIPLog!$C:$C,$A129))</f>
        <v/>
      </c>
      <c r="N129" s="5" t="str">
        <f>IF($A129="","",SUMIFS(WIPLog!$K:$K,WIPLog!$C:$C,$A129))</f>
        <v/>
      </c>
      <c r="O129" s="5" t="str">
        <f>IF($A129="","",SUMIFS('Delivery Log'!$E:$E,'Delivery Log'!$B:$B,$A129))</f>
        <v/>
      </c>
      <c r="P129" s="5" t="str">
        <f t="shared" si="2"/>
        <v/>
      </c>
      <c r="Q129" t="str">
        <f t="shared" si="3"/>
        <v/>
      </c>
    </row>
    <row r="130" spans="7:17">
      <c r="G130" s="5"/>
      <c r="H130" s="4"/>
      <c r="I130" s="4"/>
      <c r="K130" t="str">
        <f>IF($A130="","",IF($O130&gt;=$G130,"Delivered",IFERROR(LOOKUP(2,1/(WIPLog!$C$2:$C$1000=$A130),WIPLog!$F$2:$F$1000),"Not Started")))</f>
        <v/>
      </c>
      <c r="L130" s="5" t="str">
        <f>IF($A130="","",SUMIFS(WIPLog!$H:$H,WIPLog!$C:$C,$A130))</f>
        <v/>
      </c>
      <c r="M130" s="5" t="str">
        <f>IF($A130="","",SUMIFS(WIPLog!$I:$I,WIPLog!$C:$C,$A130))</f>
        <v/>
      </c>
      <c r="N130" s="5" t="str">
        <f>IF($A130="","",SUMIFS(WIPLog!$K:$K,WIPLog!$C:$C,$A130))</f>
        <v/>
      </c>
      <c r="O130" s="5" t="str">
        <f>IF($A130="","",SUMIFS('Delivery Log'!$E:$E,'Delivery Log'!$B:$B,$A130))</f>
        <v/>
      </c>
      <c r="P130" s="5" t="str">
        <f t="shared" ref="P130:P193" si="4">IF($A130="","",MAX(0,$G130-$O130-$N130))</f>
        <v/>
      </c>
      <c r="Q130" t="str">
        <f t="shared" ref="Q130:Q193" si="5">IF($A130="","",IF($O130&gt;=$G130,"Delivered",IF($O130&gt;0,"Partial",IF($P130=0,"Closed","Open"))))</f>
        <v/>
      </c>
    </row>
    <row r="131" spans="7:17">
      <c r="G131" s="5"/>
      <c r="H131" s="4"/>
      <c r="I131" s="4"/>
      <c r="K131" t="str">
        <f>IF($A131="","",IF($O131&gt;=$G131,"Delivered",IFERROR(LOOKUP(2,1/(WIPLog!$C$2:$C$1000=$A131),WIPLog!$F$2:$F$1000),"Not Started")))</f>
        <v/>
      </c>
      <c r="L131" s="5" t="str">
        <f>IF($A131="","",SUMIFS(WIPLog!$H:$H,WIPLog!$C:$C,$A131))</f>
        <v/>
      </c>
      <c r="M131" s="5" t="str">
        <f>IF($A131="","",SUMIFS(WIPLog!$I:$I,WIPLog!$C:$C,$A131))</f>
        <v/>
      </c>
      <c r="N131" s="5" t="str">
        <f>IF($A131="","",SUMIFS(WIPLog!$K:$K,WIPLog!$C:$C,$A131))</f>
        <v/>
      </c>
      <c r="O131" s="5" t="str">
        <f>IF($A131="","",SUMIFS('Delivery Log'!$E:$E,'Delivery Log'!$B:$B,$A131))</f>
        <v/>
      </c>
      <c r="P131" s="5" t="str">
        <f t="shared" si="4"/>
        <v/>
      </c>
      <c r="Q131" t="str">
        <f t="shared" si="5"/>
        <v/>
      </c>
    </row>
    <row r="132" spans="7:17">
      <c r="G132" s="5"/>
      <c r="H132" s="4"/>
      <c r="I132" s="4"/>
      <c r="K132" t="str">
        <f>IF($A132="","",IF($O132&gt;=$G132,"Delivered",IFERROR(LOOKUP(2,1/(WIPLog!$C$2:$C$1000=$A132),WIPLog!$F$2:$F$1000),"Not Started")))</f>
        <v/>
      </c>
      <c r="L132" s="5" t="str">
        <f>IF($A132="","",SUMIFS(WIPLog!$H:$H,WIPLog!$C:$C,$A132))</f>
        <v/>
      </c>
      <c r="M132" s="5" t="str">
        <f>IF($A132="","",SUMIFS(WIPLog!$I:$I,WIPLog!$C:$C,$A132))</f>
        <v/>
      </c>
      <c r="N132" s="5" t="str">
        <f>IF($A132="","",SUMIFS(WIPLog!$K:$K,WIPLog!$C:$C,$A132))</f>
        <v/>
      </c>
      <c r="O132" s="5" t="str">
        <f>IF($A132="","",SUMIFS('Delivery Log'!$E:$E,'Delivery Log'!$B:$B,$A132))</f>
        <v/>
      </c>
      <c r="P132" s="5" t="str">
        <f t="shared" si="4"/>
        <v/>
      </c>
      <c r="Q132" t="str">
        <f t="shared" si="5"/>
        <v/>
      </c>
    </row>
    <row r="133" spans="7:17">
      <c r="G133" s="5"/>
      <c r="H133" s="4"/>
      <c r="I133" s="4"/>
      <c r="K133" t="str">
        <f>IF($A133="","",IF($O133&gt;=$G133,"Delivered",IFERROR(LOOKUP(2,1/(WIPLog!$C$2:$C$1000=$A133),WIPLog!$F$2:$F$1000),"Not Started")))</f>
        <v/>
      </c>
      <c r="L133" s="5" t="str">
        <f>IF($A133="","",SUMIFS(WIPLog!$H:$H,WIPLog!$C:$C,$A133))</f>
        <v/>
      </c>
      <c r="M133" s="5" t="str">
        <f>IF($A133="","",SUMIFS(WIPLog!$I:$I,WIPLog!$C:$C,$A133))</f>
        <v/>
      </c>
      <c r="N133" s="5" t="str">
        <f>IF($A133="","",SUMIFS(WIPLog!$K:$K,WIPLog!$C:$C,$A133))</f>
        <v/>
      </c>
      <c r="O133" s="5" t="str">
        <f>IF($A133="","",SUMIFS('Delivery Log'!$E:$E,'Delivery Log'!$B:$B,$A133))</f>
        <v/>
      </c>
      <c r="P133" s="5" t="str">
        <f t="shared" si="4"/>
        <v/>
      </c>
      <c r="Q133" t="str">
        <f t="shared" si="5"/>
        <v/>
      </c>
    </row>
    <row r="134" spans="7:17">
      <c r="G134" s="5"/>
      <c r="H134" s="4"/>
      <c r="I134" s="4"/>
      <c r="K134" t="str">
        <f>IF($A134="","",IF($O134&gt;=$G134,"Delivered",IFERROR(LOOKUP(2,1/(WIPLog!$C$2:$C$1000=$A134),WIPLog!$F$2:$F$1000),"Not Started")))</f>
        <v/>
      </c>
      <c r="L134" s="5" t="str">
        <f>IF($A134="","",SUMIFS(WIPLog!$H:$H,WIPLog!$C:$C,$A134))</f>
        <v/>
      </c>
      <c r="M134" s="5" t="str">
        <f>IF($A134="","",SUMIFS(WIPLog!$I:$I,WIPLog!$C:$C,$A134))</f>
        <v/>
      </c>
      <c r="N134" s="5" t="str">
        <f>IF($A134="","",SUMIFS(WIPLog!$K:$K,WIPLog!$C:$C,$A134))</f>
        <v/>
      </c>
      <c r="O134" s="5" t="str">
        <f>IF($A134="","",SUMIFS('Delivery Log'!$E:$E,'Delivery Log'!$B:$B,$A134))</f>
        <v/>
      </c>
      <c r="P134" s="5" t="str">
        <f t="shared" si="4"/>
        <v/>
      </c>
      <c r="Q134" t="str">
        <f t="shared" si="5"/>
        <v/>
      </c>
    </row>
    <row r="135" spans="7:17">
      <c r="G135" s="5"/>
      <c r="H135" s="4"/>
      <c r="I135" s="4"/>
      <c r="K135" t="str">
        <f>IF($A135="","",IF($O135&gt;=$G135,"Delivered",IFERROR(LOOKUP(2,1/(WIPLog!$C$2:$C$1000=$A135),WIPLog!$F$2:$F$1000),"Not Started")))</f>
        <v/>
      </c>
      <c r="L135" s="5" t="str">
        <f>IF($A135="","",SUMIFS(WIPLog!$H:$H,WIPLog!$C:$C,$A135))</f>
        <v/>
      </c>
      <c r="M135" s="5" t="str">
        <f>IF($A135="","",SUMIFS(WIPLog!$I:$I,WIPLog!$C:$C,$A135))</f>
        <v/>
      </c>
      <c r="N135" s="5" t="str">
        <f>IF($A135="","",SUMIFS(WIPLog!$K:$K,WIPLog!$C:$C,$A135))</f>
        <v/>
      </c>
      <c r="O135" s="5" t="str">
        <f>IF($A135="","",SUMIFS('Delivery Log'!$E:$E,'Delivery Log'!$B:$B,$A135))</f>
        <v/>
      </c>
      <c r="P135" s="5" t="str">
        <f t="shared" si="4"/>
        <v/>
      </c>
      <c r="Q135" t="str">
        <f t="shared" si="5"/>
        <v/>
      </c>
    </row>
    <row r="136" spans="7:17">
      <c r="G136" s="5"/>
      <c r="H136" s="4"/>
      <c r="I136" s="4"/>
      <c r="K136" t="str">
        <f>IF($A136="","",IF($O136&gt;=$G136,"Delivered",IFERROR(LOOKUP(2,1/(WIPLog!$C$2:$C$1000=$A136),WIPLog!$F$2:$F$1000),"Not Started")))</f>
        <v/>
      </c>
      <c r="L136" s="5" t="str">
        <f>IF($A136="","",SUMIFS(WIPLog!$H:$H,WIPLog!$C:$C,$A136))</f>
        <v/>
      </c>
      <c r="M136" s="5" t="str">
        <f>IF($A136="","",SUMIFS(WIPLog!$I:$I,WIPLog!$C:$C,$A136))</f>
        <v/>
      </c>
      <c r="N136" s="5" t="str">
        <f>IF($A136="","",SUMIFS(WIPLog!$K:$K,WIPLog!$C:$C,$A136))</f>
        <v/>
      </c>
      <c r="O136" s="5" t="str">
        <f>IF($A136="","",SUMIFS('Delivery Log'!$E:$E,'Delivery Log'!$B:$B,$A136))</f>
        <v/>
      </c>
      <c r="P136" s="5" t="str">
        <f t="shared" si="4"/>
        <v/>
      </c>
      <c r="Q136" t="str">
        <f t="shared" si="5"/>
        <v/>
      </c>
    </row>
    <row r="137" spans="7:17">
      <c r="G137" s="5"/>
      <c r="H137" s="4"/>
      <c r="I137" s="4"/>
      <c r="K137" t="str">
        <f>IF($A137="","",IF($O137&gt;=$G137,"Delivered",IFERROR(LOOKUP(2,1/(WIPLog!$C$2:$C$1000=$A137),WIPLog!$F$2:$F$1000),"Not Started")))</f>
        <v/>
      </c>
      <c r="L137" s="5" t="str">
        <f>IF($A137="","",SUMIFS(WIPLog!$H:$H,WIPLog!$C:$C,$A137))</f>
        <v/>
      </c>
      <c r="M137" s="5" t="str">
        <f>IF($A137="","",SUMIFS(WIPLog!$I:$I,WIPLog!$C:$C,$A137))</f>
        <v/>
      </c>
      <c r="N137" s="5" t="str">
        <f>IF($A137="","",SUMIFS(WIPLog!$K:$K,WIPLog!$C:$C,$A137))</f>
        <v/>
      </c>
      <c r="O137" s="5" t="str">
        <f>IF($A137="","",SUMIFS('Delivery Log'!$E:$E,'Delivery Log'!$B:$B,$A137))</f>
        <v/>
      </c>
      <c r="P137" s="5" t="str">
        <f t="shared" si="4"/>
        <v/>
      </c>
      <c r="Q137" t="str">
        <f t="shared" si="5"/>
        <v/>
      </c>
    </row>
    <row r="138" spans="7:17">
      <c r="G138" s="5"/>
      <c r="H138" s="4"/>
      <c r="I138" s="4"/>
      <c r="K138" t="str">
        <f>IF($A138="","",IF($O138&gt;=$G138,"Delivered",IFERROR(LOOKUP(2,1/(WIPLog!$C$2:$C$1000=$A138),WIPLog!$F$2:$F$1000),"Not Started")))</f>
        <v/>
      </c>
      <c r="L138" s="5" t="str">
        <f>IF($A138="","",SUMIFS(WIPLog!$H:$H,WIPLog!$C:$C,$A138))</f>
        <v/>
      </c>
      <c r="M138" s="5" t="str">
        <f>IF($A138="","",SUMIFS(WIPLog!$I:$I,WIPLog!$C:$C,$A138))</f>
        <v/>
      </c>
      <c r="N138" s="5" t="str">
        <f>IF($A138="","",SUMIFS(WIPLog!$K:$K,WIPLog!$C:$C,$A138))</f>
        <v/>
      </c>
      <c r="O138" s="5" t="str">
        <f>IF($A138="","",SUMIFS('Delivery Log'!$E:$E,'Delivery Log'!$B:$B,$A138))</f>
        <v/>
      </c>
      <c r="P138" s="5" t="str">
        <f t="shared" si="4"/>
        <v/>
      </c>
      <c r="Q138" t="str">
        <f t="shared" si="5"/>
        <v/>
      </c>
    </row>
    <row r="139" spans="7:17">
      <c r="G139" s="5"/>
      <c r="H139" s="4"/>
      <c r="I139" s="4"/>
      <c r="K139" t="str">
        <f>IF($A139="","",IF($O139&gt;=$G139,"Delivered",IFERROR(LOOKUP(2,1/(WIPLog!$C$2:$C$1000=$A139),WIPLog!$F$2:$F$1000),"Not Started")))</f>
        <v/>
      </c>
      <c r="L139" s="5" t="str">
        <f>IF($A139="","",SUMIFS(WIPLog!$H:$H,WIPLog!$C:$C,$A139))</f>
        <v/>
      </c>
      <c r="M139" s="5" t="str">
        <f>IF($A139="","",SUMIFS(WIPLog!$I:$I,WIPLog!$C:$C,$A139))</f>
        <v/>
      </c>
      <c r="N139" s="5" t="str">
        <f>IF($A139="","",SUMIFS(WIPLog!$K:$K,WIPLog!$C:$C,$A139))</f>
        <v/>
      </c>
      <c r="O139" s="5" t="str">
        <f>IF($A139="","",SUMIFS('Delivery Log'!$E:$E,'Delivery Log'!$B:$B,$A139))</f>
        <v/>
      </c>
      <c r="P139" s="5" t="str">
        <f t="shared" si="4"/>
        <v/>
      </c>
      <c r="Q139" t="str">
        <f t="shared" si="5"/>
        <v/>
      </c>
    </row>
    <row r="140" spans="7:17">
      <c r="G140" s="5"/>
      <c r="H140" s="4"/>
      <c r="I140" s="4"/>
      <c r="K140" t="str">
        <f>IF($A140="","",IF($O140&gt;=$G140,"Delivered",IFERROR(LOOKUP(2,1/(WIPLog!$C$2:$C$1000=$A140),WIPLog!$F$2:$F$1000),"Not Started")))</f>
        <v/>
      </c>
      <c r="L140" s="5" t="str">
        <f>IF($A140="","",SUMIFS(WIPLog!$H:$H,WIPLog!$C:$C,$A140))</f>
        <v/>
      </c>
      <c r="M140" s="5" t="str">
        <f>IF($A140="","",SUMIFS(WIPLog!$I:$I,WIPLog!$C:$C,$A140))</f>
        <v/>
      </c>
      <c r="N140" s="5" t="str">
        <f>IF($A140="","",SUMIFS(WIPLog!$K:$K,WIPLog!$C:$C,$A140))</f>
        <v/>
      </c>
      <c r="O140" s="5" t="str">
        <f>IF($A140="","",SUMIFS('Delivery Log'!$E:$E,'Delivery Log'!$B:$B,$A140))</f>
        <v/>
      </c>
      <c r="P140" s="5" t="str">
        <f t="shared" si="4"/>
        <v/>
      </c>
      <c r="Q140" t="str">
        <f t="shared" si="5"/>
        <v/>
      </c>
    </row>
    <row r="141" spans="7:17">
      <c r="G141" s="5"/>
      <c r="H141" s="4"/>
      <c r="I141" s="4"/>
      <c r="K141" t="str">
        <f>IF($A141="","",IF($O141&gt;=$G141,"Delivered",IFERROR(LOOKUP(2,1/(WIPLog!$C$2:$C$1000=$A141),WIPLog!$F$2:$F$1000),"Not Started")))</f>
        <v/>
      </c>
      <c r="L141" s="5" t="str">
        <f>IF($A141="","",SUMIFS(WIPLog!$H:$H,WIPLog!$C:$C,$A141))</f>
        <v/>
      </c>
      <c r="M141" s="5" t="str">
        <f>IF($A141="","",SUMIFS(WIPLog!$I:$I,WIPLog!$C:$C,$A141))</f>
        <v/>
      </c>
      <c r="N141" s="5" t="str">
        <f>IF($A141="","",SUMIFS(WIPLog!$K:$K,WIPLog!$C:$C,$A141))</f>
        <v/>
      </c>
      <c r="O141" s="5" t="str">
        <f>IF($A141="","",SUMIFS('Delivery Log'!$E:$E,'Delivery Log'!$B:$B,$A141))</f>
        <v/>
      </c>
      <c r="P141" s="5" t="str">
        <f t="shared" si="4"/>
        <v/>
      </c>
      <c r="Q141" t="str">
        <f t="shared" si="5"/>
        <v/>
      </c>
    </row>
    <row r="142" spans="7:17">
      <c r="G142" s="5"/>
      <c r="H142" s="4"/>
      <c r="I142" s="4"/>
      <c r="K142" t="str">
        <f>IF($A142="","",IF($O142&gt;=$G142,"Delivered",IFERROR(LOOKUP(2,1/(WIPLog!$C$2:$C$1000=$A142),WIPLog!$F$2:$F$1000),"Not Started")))</f>
        <v/>
      </c>
      <c r="L142" s="5" t="str">
        <f>IF($A142="","",SUMIFS(WIPLog!$H:$H,WIPLog!$C:$C,$A142))</f>
        <v/>
      </c>
      <c r="M142" s="5" t="str">
        <f>IF($A142="","",SUMIFS(WIPLog!$I:$I,WIPLog!$C:$C,$A142))</f>
        <v/>
      </c>
      <c r="N142" s="5" t="str">
        <f>IF($A142="","",SUMIFS(WIPLog!$K:$K,WIPLog!$C:$C,$A142))</f>
        <v/>
      </c>
      <c r="O142" s="5" t="str">
        <f>IF($A142="","",SUMIFS('Delivery Log'!$E:$E,'Delivery Log'!$B:$B,$A142))</f>
        <v/>
      </c>
      <c r="P142" s="5" t="str">
        <f t="shared" si="4"/>
        <v/>
      </c>
      <c r="Q142" t="str">
        <f t="shared" si="5"/>
        <v/>
      </c>
    </row>
    <row r="143" spans="7:17">
      <c r="G143" s="5"/>
      <c r="H143" s="4"/>
      <c r="I143" s="4"/>
      <c r="K143" t="str">
        <f>IF($A143="","",IF($O143&gt;=$G143,"Delivered",IFERROR(LOOKUP(2,1/(WIPLog!$C$2:$C$1000=$A143),WIPLog!$F$2:$F$1000),"Not Started")))</f>
        <v/>
      </c>
      <c r="L143" s="5" t="str">
        <f>IF($A143="","",SUMIFS(WIPLog!$H:$H,WIPLog!$C:$C,$A143))</f>
        <v/>
      </c>
      <c r="M143" s="5" t="str">
        <f>IF($A143="","",SUMIFS(WIPLog!$I:$I,WIPLog!$C:$C,$A143))</f>
        <v/>
      </c>
      <c r="N143" s="5" t="str">
        <f>IF($A143="","",SUMIFS(WIPLog!$K:$K,WIPLog!$C:$C,$A143))</f>
        <v/>
      </c>
      <c r="O143" s="5" t="str">
        <f>IF($A143="","",SUMIFS('Delivery Log'!$E:$E,'Delivery Log'!$B:$B,$A143))</f>
        <v/>
      </c>
      <c r="P143" s="5" t="str">
        <f t="shared" si="4"/>
        <v/>
      </c>
      <c r="Q143" t="str">
        <f t="shared" si="5"/>
        <v/>
      </c>
    </row>
    <row r="144" spans="7:17">
      <c r="G144" s="5"/>
      <c r="H144" s="4"/>
      <c r="I144" s="4"/>
      <c r="K144" t="str">
        <f>IF($A144="","",IF($O144&gt;=$G144,"Delivered",IFERROR(LOOKUP(2,1/(WIPLog!$C$2:$C$1000=$A144),WIPLog!$F$2:$F$1000),"Not Started")))</f>
        <v/>
      </c>
      <c r="L144" s="5" t="str">
        <f>IF($A144="","",SUMIFS(WIPLog!$H:$H,WIPLog!$C:$C,$A144))</f>
        <v/>
      </c>
      <c r="M144" s="5" t="str">
        <f>IF($A144="","",SUMIFS(WIPLog!$I:$I,WIPLog!$C:$C,$A144))</f>
        <v/>
      </c>
      <c r="N144" s="5" t="str">
        <f>IF($A144="","",SUMIFS(WIPLog!$K:$K,WIPLog!$C:$C,$A144))</f>
        <v/>
      </c>
      <c r="O144" s="5" t="str">
        <f>IF($A144="","",SUMIFS('Delivery Log'!$E:$E,'Delivery Log'!$B:$B,$A144))</f>
        <v/>
      </c>
      <c r="P144" s="5" t="str">
        <f t="shared" si="4"/>
        <v/>
      </c>
      <c r="Q144" t="str">
        <f t="shared" si="5"/>
        <v/>
      </c>
    </row>
    <row r="145" spans="7:17">
      <c r="G145" s="5"/>
      <c r="H145" s="4"/>
      <c r="I145" s="4"/>
      <c r="K145" t="str">
        <f>IF($A145="","",IF($O145&gt;=$G145,"Delivered",IFERROR(LOOKUP(2,1/(WIPLog!$C$2:$C$1000=$A145),WIPLog!$F$2:$F$1000),"Not Started")))</f>
        <v/>
      </c>
      <c r="L145" s="5" t="str">
        <f>IF($A145="","",SUMIFS(WIPLog!$H:$H,WIPLog!$C:$C,$A145))</f>
        <v/>
      </c>
      <c r="M145" s="5" t="str">
        <f>IF($A145="","",SUMIFS(WIPLog!$I:$I,WIPLog!$C:$C,$A145))</f>
        <v/>
      </c>
      <c r="N145" s="5" t="str">
        <f>IF($A145="","",SUMIFS(WIPLog!$K:$K,WIPLog!$C:$C,$A145))</f>
        <v/>
      </c>
      <c r="O145" s="5" t="str">
        <f>IF($A145="","",SUMIFS('Delivery Log'!$E:$E,'Delivery Log'!$B:$B,$A145))</f>
        <v/>
      </c>
      <c r="P145" s="5" t="str">
        <f t="shared" si="4"/>
        <v/>
      </c>
      <c r="Q145" t="str">
        <f t="shared" si="5"/>
        <v/>
      </c>
    </row>
    <row r="146" spans="7:17">
      <c r="G146" s="5"/>
      <c r="H146" s="4"/>
      <c r="I146" s="4"/>
      <c r="K146" t="str">
        <f>IF($A146="","",IF($O146&gt;=$G146,"Delivered",IFERROR(LOOKUP(2,1/(WIPLog!$C$2:$C$1000=$A146),WIPLog!$F$2:$F$1000),"Not Started")))</f>
        <v/>
      </c>
      <c r="L146" s="5" t="str">
        <f>IF($A146="","",SUMIFS(WIPLog!$H:$H,WIPLog!$C:$C,$A146))</f>
        <v/>
      </c>
      <c r="M146" s="5" t="str">
        <f>IF($A146="","",SUMIFS(WIPLog!$I:$I,WIPLog!$C:$C,$A146))</f>
        <v/>
      </c>
      <c r="N146" s="5" t="str">
        <f>IF($A146="","",SUMIFS(WIPLog!$K:$K,WIPLog!$C:$C,$A146))</f>
        <v/>
      </c>
      <c r="O146" s="5" t="str">
        <f>IF($A146="","",SUMIFS('Delivery Log'!$E:$E,'Delivery Log'!$B:$B,$A146))</f>
        <v/>
      </c>
      <c r="P146" s="5" t="str">
        <f t="shared" si="4"/>
        <v/>
      </c>
      <c r="Q146" t="str">
        <f t="shared" si="5"/>
        <v/>
      </c>
    </row>
    <row r="147" spans="7:17">
      <c r="G147" s="5"/>
      <c r="H147" s="4"/>
      <c r="I147" s="4"/>
      <c r="K147" t="str">
        <f>IF($A147="","",IF($O147&gt;=$G147,"Delivered",IFERROR(LOOKUP(2,1/(WIPLog!$C$2:$C$1000=$A147),WIPLog!$F$2:$F$1000),"Not Started")))</f>
        <v/>
      </c>
      <c r="L147" s="5" t="str">
        <f>IF($A147="","",SUMIFS(WIPLog!$H:$H,WIPLog!$C:$C,$A147))</f>
        <v/>
      </c>
      <c r="M147" s="5" t="str">
        <f>IF($A147="","",SUMIFS(WIPLog!$I:$I,WIPLog!$C:$C,$A147))</f>
        <v/>
      </c>
      <c r="N147" s="5" t="str">
        <f>IF($A147="","",SUMIFS(WIPLog!$K:$K,WIPLog!$C:$C,$A147))</f>
        <v/>
      </c>
      <c r="O147" s="5" t="str">
        <f>IF($A147="","",SUMIFS('Delivery Log'!$E:$E,'Delivery Log'!$B:$B,$A147))</f>
        <v/>
      </c>
      <c r="P147" s="5" t="str">
        <f t="shared" si="4"/>
        <v/>
      </c>
      <c r="Q147" t="str">
        <f t="shared" si="5"/>
        <v/>
      </c>
    </row>
    <row r="148" spans="7:17">
      <c r="G148" s="5"/>
      <c r="H148" s="4"/>
      <c r="I148" s="4"/>
      <c r="K148" t="str">
        <f>IF($A148="","",IF($O148&gt;=$G148,"Delivered",IFERROR(LOOKUP(2,1/(WIPLog!$C$2:$C$1000=$A148),WIPLog!$F$2:$F$1000),"Not Started")))</f>
        <v/>
      </c>
      <c r="L148" s="5" t="str">
        <f>IF($A148="","",SUMIFS(WIPLog!$H:$H,WIPLog!$C:$C,$A148))</f>
        <v/>
      </c>
      <c r="M148" s="5" t="str">
        <f>IF($A148="","",SUMIFS(WIPLog!$I:$I,WIPLog!$C:$C,$A148))</f>
        <v/>
      </c>
      <c r="N148" s="5" t="str">
        <f>IF($A148="","",SUMIFS(WIPLog!$K:$K,WIPLog!$C:$C,$A148))</f>
        <v/>
      </c>
      <c r="O148" s="5" t="str">
        <f>IF($A148="","",SUMIFS('Delivery Log'!$E:$E,'Delivery Log'!$B:$B,$A148))</f>
        <v/>
      </c>
      <c r="P148" s="5" t="str">
        <f t="shared" si="4"/>
        <v/>
      </c>
      <c r="Q148" t="str">
        <f t="shared" si="5"/>
        <v/>
      </c>
    </row>
    <row r="149" spans="7:17">
      <c r="G149" s="5"/>
      <c r="H149" s="4"/>
      <c r="I149" s="4"/>
      <c r="K149" t="str">
        <f>IF($A149="","",IF($O149&gt;=$G149,"Delivered",IFERROR(LOOKUP(2,1/(WIPLog!$C$2:$C$1000=$A149),WIPLog!$F$2:$F$1000),"Not Started")))</f>
        <v/>
      </c>
      <c r="L149" s="5" t="str">
        <f>IF($A149="","",SUMIFS(WIPLog!$H:$H,WIPLog!$C:$C,$A149))</f>
        <v/>
      </c>
      <c r="M149" s="5" t="str">
        <f>IF($A149="","",SUMIFS(WIPLog!$I:$I,WIPLog!$C:$C,$A149))</f>
        <v/>
      </c>
      <c r="N149" s="5" t="str">
        <f>IF($A149="","",SUMIFS(WIPLog!$K:$K,WIPLog!$C:$C,$A149))</f>
        <v/>
      </c>
      <c r="O149" s="5" t="str">
        <f>IF($A149="","",SUMIFS('Delivery Log'!$E:$E,'Delivery Log'!$B:$B,$A149))</f>
        <v/>
      </c>
      <c r="P149" s="5" t="str">
        <f t="shared" si="4"/>
        <v/>
      </c>
      <c r="Q149" t="str">
        <f t="shared" si="5"/>
        <v/>
      </c>
    </row>
    <row r="150" spans="7:17">
      <c r="G150" s="5"/>
      <c r="H150" s="4"/>
      <c r="I150" s="4"/>
      <c r="K150" t="str">
        <f>IF($A150="","",IF($O150&gt;=$G150,"Delivered",IFERROR(LOOKUP(2,1/(WIPLog!$C$2:$C$1000=$A150),WIPLog!$F$2:$F$1000),"Not Started")))</f>
        <v/>
      </c>
      <c r="L150" s="5" t="str">
        <f>IF($A150="","",SUMIFS(WIPLog!$H:$H,WIPLog!$C:$C,$A150))</f>
        <v/>
      </c>
      <c r="M150" s="5" t="str">
        <f>IF($A150="","",SUMIFS(WIPLog!$I:$I,WIPLog!$C:$C,$A150))</f>
        <v/>
      </c>
      <c r="N150" s="5" t="str">
        <f>IF($A150="","",SUMIFS(WIPLog!$K:$K,WIPLog!$C:$C,$A150))</f>
        <v/>
      </c>
      <c r="O150" s="5" t="str">
        <f>IF($A150="","",SUMIFS('Delivery Log'!$E:$E,'Delivery Log'!$B:$B,$A150))</f>
        <v/>
      </c>
      <c r="P150" s="5" t="str">
        <f t="shared" si="4"/>
        <v/>
      </c>
      <c r="Q150" t="str">
        <f t="shared" si="5"/>
        <v/>
      </c>
    </row>
    <row r="151" spans="7:17">
      <c r="G151" s="5"/>
      <c r="H151" s="4"/>
      <c r="I151" s="4"/>
      <c r="K151" t="str">
        <f>IF($A151="","",IF($O151&gt;=$G151,"Delivered",IFERROR(LOOKUP(2,1/(WIPLog!$C$2:$C$1000=$A151),WIPLog!$F$2:$F$1000),"Not Started")))</f>
        <v/>
      </c>
      <c r="L151" s="5" t="str">
        <f>IF($A151="","",SUMIFS(WIPLog!$H:$H,WIPLog!$C:$C,$A151))</f>
        <v/>
      </c>
      <c r="M151" s="5" t="str">
        <f>IF($A151="","",SUMIFS(WIPLog!$I:$I,WIPLog!$C:$C,$A151))</f>
        <v/>
      </c>
      <c r="N151" s="5" t="str">
        <f>IF($A151="","",SUMIFS(WIPLog!$K:$K,WIPLog!$C:$C,$A151))</f>
        <v/>
      </c>
      <c r="O151" s="5" t="str">
        <f>IF($A151="","",SUMIFS('Delivery Log'!$E:$E,'Delivery Log'!$B:$B,$A151))</f>
        <v/>
      </c>
      <c r="P151" s="5" t="str">
        <f t="shared" si="4"/>
        <v/>
      </c>
      <c r="Q151" t="str">
        <f t="shared" si="5"/>
        <v/>
      </c>
    </row>
    <row r="152" spans="7:17">
      <c r="G152" s="5"/>
      <c r="H152" s="4"/>
      <c r="I152" s="4"/>
      <c r="K152" t="str">
        <f>IF($A152="","",IF($O152&gt;=$G152,"Delivered",IFERROR(LOOKUP(2,1/(WIPLog!$C$2:$C$1000=$A152),WIPLog!$F$2:$F$1000),"Not Started")))</f>
        <v/>
      </c>
      <c r="L152" s="5" t="str">
        <f>IF($A152="","",SUMIFS(WIPLog!$H:$H,WIPLog!$C:$C,$A152))</f>
        <v/>
      </c>
      <c r="M152" s="5" t="str">
        <f>IF($A152="","",SUMIFS(WIPLog!$I:$I,WIPLog!$C:$C,$A152))</f>
        <v/>
      </c>
      <c r="N152" s="5" t="str">
        <f>IF($A152="","",SUMIFS(WIPLog!$K:$K,WIPLog!$C:$C,$A152))</f>
        <v/>
      </c>
      <c r="O152" s="5" t="str">
        <f>IF($A152="","",SUMIFS('Delivery Log'!$E:$E,'Delivery Log'!$B:$B,$A152))</f>
        <v/>
      </c>
      <c r="P152" s="5" t="str">
        <f t="shared" si="4"/>
        <v/>
      </c>
      <c r="Q152" t="str">
        <f t="shared" si="5"/>
        <v/>
      </c>
    </row>
    <row r="153" spans="7:17">
      <c r="G153" s="5"/>
      <c r="H153" s="4"/>
      <c r="I153" s="4"/>
      <c r="K153" t="str">
        <f>IF($A153="","",IF($O153&gt;=$G153,"Delivered",IFERROR(LOOKUP(2,1/(WIPLog!$C$2:$C$1000=$A153),WIPLog!$F$2:$F$1000),"Not Started")))</f>
        <v/>
      </c>
      <c r="L153" s="5" t="str">
        <f>IF($A153="","",SUMIFS(WIPLog!$H:$H,WIPLog!$C:$C,$A153))</f>
        <v/>
      </c>
      <c r="M153" s="5" t="str">
        <f>IF($A153="","",SUMIFS(WIPLog!$I:$I,WIPLog!$C:$C,$A153))</f>
        <v/>
      </c>
      <c r="N153" s="5" t="str">
        <f>IF($A153="","",SUMIFS(WIPLog!$K:$K,WIPLog!$C:$C,$A153))</f>
        <v/>
      </c>
      <c r="O153" s="5" t="str">
        <f>IF($A153="","",SUMIFS('Delivery Log'!$E:$E,'Delivery Log'!$B:$B,$A153))</f>
        <v/>
      </c>
      <c r="P153" s="5" t="str">
        <f t="shared" si="4"/>
        <v/>
      </c>
      <c r="Q153" t="str">
        <f t="shared" si="5"/>
        <v/>
      </c>
    </row>
    <row r="154" spans="7:17">
      <c r="G154" s="5"/>
      <c r="H154" s="4"/>
      <c r="I154" s="4"/>
      <c r="K154" t="str">
        <f>IF($A154="","",IF($O154&gt;=$G154,"Delivered",IFERROR(LOOKUP(2,1/(WIPLog!$C$2:$C$1000=$A154),WIPLog!$F$2:$F$1000),"Not Started")))</f>
        <v/>
      </c>
      <c r="L154" s="5" t="str">
        <f>IF($A154="","",SUMIFS(WIPLog!$H:$H,WIPLog!$C:$C,$A154))</f>
        <v/>
      </c>
      <c r="M154" s="5" t="str">
        <f>IF($A154="","",SUMIFS(WIPLog!$I:$I,WIPLog!$C:$C,$A154))</f>
        <v/>
      </c>
      <c r="N154" s="5" t="str">
        <f>IF($A154="","",SUMIFS(WIPLog!$K:$K,WIPLog!$C:$C,$A154))</f>
        <v/>
      </c>
      <c r="O154" s="5" t="str">
        <f>IF($A154="","",SUMIFS('Delivery Log'!$E:$E,'Delivery Log'!$B:$B,$A154))</f>
        <v/>
      </c>
      <c r="P154" s="5" t="str">
        <f t="shared" si="4"/>
        <v/>
      </c>
      <c r="Q154" t="str">
        <f t="shared" si="5"/>
        <v/>
      </c>
    </row>
    <row r="155" spans="7:17">
      <c r="G155" s="5"/>
      <c r="H155" s="4"/>
      <c r="I155" s="4"/>
      <c r="K155" t="str">
        <f>IF($A155="","",IF($O155&gt;=$G155,"Delivered",IFERROR(LOOKUP(2,1/(WIPLog!$C$2:$C$1000=$A155),WIPLog!$F$2:$F$1000),"Not Started")))</f>
        <v/>
      </c>
      <c r="L155" s="5" t="str">
        <f>IF($A155="","",SUMIFS(WIPLog!$H:$H,WIPLog!$C:$C,$A155))</f>
        <v/>
      </c>
      <c r="M155" s="5" t="str">
        <f>IF($A155="","",SUMIFS(WIPLog!$I:$I,WIPLog!$C:$C,$A155))</f>
        <v/>
      </c>
      <c r="N155" s="5" t="str">
        <f>IF($A155="","",SUMIFS(WIPLog!$K:$K,WIPLog!$C:$C,$A155))</f>
        <v/>
      </c>
      <c r="O155" s="5" t="str">
        <f>IF($A155="","",SUMIFS('Delivery Log'!$E:$E,'Delivery Log'!$B:$B,$A155))</f>
        <v/>
      </c>
      <c r="P155" s="5" t="str">
        <f t="shared" si="4"/>
        <v/>
      </c>
      <c r="Q155" t="str">
        <f t="shared" si="5"/>
        <v/>
      </c>
    </row>
    <row r="156" spans="7:17">
      <c r="G156" s="5"/>
      <c r="H156" s="4"/>
      <c r="I156" s="4"/>
      <c r="K156" t="str">
        <f>IF($A156="","",IF($O156&gt;=$G156,"Delivered",IFERROR(LOOKUP(2,1/(WIPLog!$C$2:$C$1000=$A156),WIPLog!$F$2:$F$1000),"Not Started")))</f>
        <v/>
      </c>
      <c r="L156" s="5" t="str">
        <f>IF($A156="","",SUMIFS(WIPLog!$H:$H,WIPLog!$C:$C,$A156))</f>
        <v/>
      </c>
      <c r="M156" s="5" t="str">
        <f>IF($A156="","",SUMIFS(WIPLog!$I:$I,WIPLog!$C:$C,$A156))</f>
        <v/>
      </c>
      <c r="N156" s="5" t="str">
        <f>IF($A156="","",SUMIFS(WIPLog!$K:$K,WIPLog!$C:$C,$A156))</f>
        <v/>
      </c>
      <c r="O156" s="5" t="str">
        <f>IF($A156="","",SUMIFS('Delivery Log'!$E:$E,'Delivery Log'!$B:$B,$A156))</f>
        <v/>
      </c>
      <c r="P156" s="5" t="str">
        <f t="shared" si="4"/>
        <v/>
      </c>
      <c r="Q156" t="str">
        <f t="shared" si="5"/>
        <v/>
      </c>
    </row>
    <row r="157" spans="7:17">
      <c r="G157" s="5"/>
      <c r="H157" s="4"/>
      <c r="I157" s="4"/>
      <c r="K157" t="str">
        <f>IF($A157="","",IF($O157&gt;=$G157,"Delivered",IFERROR(LOOKUP(2,1/(WIPLog!$C$2:$C$1000=$A157),WIPLog!$F$2:$F$1000),"Not Started")))</f>
        <v/>
      </c>
      <c r="L157" s="5" t="str">
        <f>IF($A157="","",SUMIFS(WIPLog!$H:$H,WIPLog!$C:$C,$A157))</f>
        <v/>
      </c>
      <c r="M157" s="5" t="str">
        <f>IF($A157="","",SUMIFS(WIPLog!$I:$I,WIPLog!$C:$C,$A157))</f>
        <v/>
      </c>
      <c r="N157" s="5" t="str">
        <f>IF($A157="","",SUMIFS(WIPLog!$K:$K,WIPLog!$C:$C,$A157))</f>
        <v/>
      </c>
      <c r="O157" s="5" t="str">
        <f>IF($A157="","",SUMIFS('Delivery Log'!$E:$E,'Delivery Log'!$B:$B,$A157))</f>
        <v/>
      </c>
      <c r="P157" s="5" t="str">
        <f t="shared" si="4"/>
        <v/>
      </c>
      <c r="Q157" t="str">
        <f t="shared" si="5"/>
        <v/>
      </c>
    </row>
    <row r="158" spans="7:17">
      <c r="G158" s="5"/>
      <c r="H158" s="4"/>
      <c r="I158" s="4"/>
      <c r="K158" t="str">
        <f>IF($A158="","",IF($O158&gt;=$G158,"Delivered",IFERROR(LOOKUP(2,1/(WIPLog!$C$2:$C$1000=$A158),WIPLog!$F$2:$F$1000),"Not Started")))</f>
        <v/>
      </c>
      <c r="L158" s="5" t="str">
        <f>IF($A158="","",SUMIFS(WIPLog!$H:$H,WIPLog!$C:$C,$A158))</f>
        <v/>
      </c>
      <c r="M158" s="5" t="str">
        <f>IF($A158="","",SUMIFS(WIPLog!$I:$I,WIPLog!$C:$C,$A158))</f>
        <v/>
      </c>
      <c r="N158" s="5" t="str">
        <f>IF($A158="","",SUMIFS(WIPLog!$K:$K,WIPLog!$C:$C,$A158))</f>
        <v/>
      </c>
      <c r="O158" s="5" t="str">
        <f>IF($A158="","",SUMIFS('Delivery Log'!$E:$E,'Delivery Log'!$B:$B,$A158))</f>
        <v/>
      </c>
      <c r="P158" s="5" t="str">
        <f t="shared" si="4"/>
        <v/>
      </c>
      <c r="Q158" t="str">
        <f t="shared" si="5"/>
        <v/>
      </c>
    </row>
    <row r="159" spans="7:17">
      <c r="G159" s="5"/>
      <c r="H159" s="4"/>
      <c r="I159" s="4"/>
      <c r="K159" t="str">
        <f>IF($A159="","",IF($O159&gt;=$G159,"Delivered",IFERROR(LOOKUP(2,1/(WIPLog!$C$2:$C$1000=$A159),WIPLog!$F$2:$F$1000),"Not Started")))</f>
        <v/>
      </c>
      <c r="L159" s="5" t="str">
        <f>IF($A159="","",SUMIFS(WIPLog!$H:$H,WIPLog!$C:$C,$A159))</f>
        <v/>
      </c>
      <c r="M159" s="5" t="str">
        <f>IF($A159="","",SUMIFS(WIPLog!$I:$I,WIPLog!$C:$C,$A159))</f>
        <v/>
      </c>
      <c r="N159" s="5" t="str">
        <f>IF($A159="","",SUMIFS(WIPLog!$K:$K,WIPLog!$C:$C,$A159))</f>
        <v/>
      </c>
      <c r="O159" s="5" t="str">
        <f>IF($A159="","",SUMIFS('Delivery Log'!$E:$E,'Delivery Log'!$B:$B,$A159))</f>
        <v/>
      </c>
      <c r="P159" s="5" t="str">
        <f t="shared" si="4"/>
        <v/>
      </c>
      <c r="Q159" t="str">
        <f t="shared" si="5"/>
        <v/>
      </c>
    </row>
    <row r="160" spans="7:17">
      <c r="G160" s="5"/>
      <c r="H160" s="4"/>
      <c r="I160" s="4"/>
      <c r="K160" t="str">
        <f>IF($A160="","",IF($O160&gt;=$G160,"Delivered",IFERROR(LOOKUP(2,1/(WIPLog!$C$2:$C$1000=$A160),WIPLog!$F$2:$F$1000),"Not Started")))</f>
        <v/>
      </c>
      <c r="L160" s="5" t="str">
        <f>IF($A160="","",SUMIFS(WIPLog!$H:$H,WIPLog!$C:$C,$A160))</f>
        <v/>
      </c>
      <c r="M160" s="5" t="str">
        <f>IF($A160="","",SUMIFS(WIPLog!$I:$I,WIPLog!$C:$C,$A160))</f>
        <v/>
      </c>
      <c r="N160" s="5" t="str">
        <f>IF($A160="","",SUMIFS(WIPLog!$K:$K,WIPLog!$C:$C,$A160))</f>
        <v/>
      </c>
      <c r="O160" s="5" t="str">
        <f>IF($A160="","",SUMIFS('Delivery Log'!$E:$E,'Delivery Log'!$B:$B,$A160))</f>
        <v/>
      </c>
      <c r="P160" s="5" t="str">
        <f t="shared" si="4"/>
        <v/>
      </c>
      <c r="Q160" t="str">
        <f t="shared" si="5"/>
        <v/>
      </c>
    </row>
    <row r="161" spans="7:17">
      <c r="G161" s="5"/>
      <c r="H161" s="4"/>
      <c r="I161" s="4"/>
      <c r="K161" t="str">
        <f>IF($A161="","",IF($O161&gt;=$G161,"Delivered",IFERROR(LOOKUP(2,1/(WIPLog!$C$2:$C$1000=$A161),WIPLog!$F$2:$F$1000),"Not Started")))</f>
        <v/>
      </c>
      <c r="L161" s="5" t="str">
        <f>IF($A161="","",SUMIFS(WIPLog!$H:$H,WIPLog!$C:$C,$A161))</f>
        <v/>
      </c>
      <c r="M161" s="5" t="str">
        <f>IF($A161="","",SUMIFS(WIPLog!$I:$I,WIPLog!$C:$C,$A161))</f>
        <v/>
      </c>
      <c r="N161" s="5" t="str">
        <f>IF($A161="","",SUMIFS(WIPLog!$K:$K,WIPLog!$C:$C,$A161))</f>
        <v/>
      </c>
      <c r="O161" s="5" t="str">
        <f>IF($A161="","",SUMIFS('Delivery Log'!$E:$E,'Delivery Log'!$B:$B,$A161))</f>
        <v/>
      </c>
      <c r="P161" s="5" t="str">
        <f t="shared" si="4"/>
        <v/>
      </c>
      <c r="Q161" t="str">
        <f t="shared" si="5"/>
        <v/>
      </c>
    </row>
    <row r="162" spans="7:17">
      <c r="G162" s="5"/>
      <c r="H162" s="4"/>
      <c r="I162" s="4"/>
      <c r="K162" t="str">
        <f>IF($A162="","",IF($O162&gt;=$G162,"Delivered",IFERROR(LOOKUP(2,1/(WIPLog!$C$2:$C$1000=$A162),WIPLog!$F$2:$F$1000),"Not Started")))</f>
        <v/>
      </c>
      <c r="L162" s="5" t="str">
        <f>IF($A162="","",SUMIFS(WIPLog!$H:$H,WIPLog!$C:$C,$A162))</f>
        <v/>
      </c>
      <c r="M162" s="5" t="str">
        <f>IF($A162="","",SUMIFS(WIPLog!$I:$I,WIPLog!$C:$C,$A162))</f>
        <v/>
      </c>
      <c r="N162" s="5" t="str">
        <f>IF($A162="","",SUMIFS(WIPLog!$K:$K,WIPLog!$C:$C,$A162))</f>
        <v/>
      </c>
      <c r="O162" s="5" t="str">
        <f>IF($A162="","",SUMIFS('Delivery Log'!$E:$E,'Delivery Log'!$B:$B,$A162))</f>
        <v/>
      </c>
      <c r="P162" s="5" t="str">
        <f t="shared" si="4"/>
        <v/>
      </c>
      <c r="Q162" t="str">
        <f t="shared" si="5"/>
        <v/>
      </c>
    </row>
    <row r="163" spans="7:17">
      <c r="G163" s="5"/>
      <c r="H163" s="4"/>
      <c r="I163" s="4"/>
      <c r="K163" t="str">
        <f>IF($A163="","",IF($O163&gt;=$G163,"Delivered",IFERROR(LOOKUP(2,1/(WIPLog!$C$2:$C$1000=$A163),WIPLog!$F$2:$F$1000),"Not Started")))</f>
        <v/>
      </c>
      <c r="L163" s="5" t="str">
        <f>IF($A163="","",SUMIFS(WIPLog!$H:$H,WIPLog!$C:$C,$A163))</f>
        <v/>
      </c>
      <c r="M163" s="5" t="str">
        <f>IF($A163="","",SUMIFS(WIPLog!$I:$I,WIPLog!$C:$C,$A163))</f>
        <v/>
      </c>
      <c r="N163" s="5" t="str">
        <f>IF($A163="","",SUMIFS(WIPLog!$K:$K,WIPLog!$C:$C,$A163))</f>
        <v/>
      </c>
      <c r="O163" s="5" t="str">
        <f>IF($A163="","",SUMIFS('Delivery Log'!$E:$E,'Delivery Log'!$B:$B,$A163))</f>
        <v/>
      </c>
      <c r="P163" s="5" t="str">
        <f t="shared" si="4"/>
        <v/>
      </c>
      <c r="Q163" t="str">
        <f t="shared" si="5"/>
        <v/>
      </c>
    </row>
    <row r="164" spans="7:17">
      <c r="G164" s="5"/>
      <c r="H164" s="4"/>
      <c r="I164" s="4"/>
      <c r="K164" t="str">
        <f>IF($A164="","",IF($O164&gt;=$G164,"Delivered",IFERROR(LOOKUP(2,1/(WIPLog!$C$2:$C$1000=$A164),WIPLog!$F$2:$F$1000),"Not Started")))</f>
        <v/>
      </c>
      <c r="L164" s="5" t="str">
        <f>IF($A164="","",SUMIFS(WIPLog!$H:$H,WIPLog!$C:$C,$A164))</f>
        <v/>
      </c>
      <c r="M164" s="5" t="str">
        <f>IF($A164="","",SUMIFS(WIPLog!$I:$I,WIPLog!$C:$C,$A164))</f>
        <v/>
      </c>
      <c r="N164" s="5" t="str">
        <f>IF($A164="","",SUMIFS(WIPLog!$K:$K,WIPLog!$C:$C,$A164))</f>
        <v/>
      </c>
      <c r="O164" s="5" t="str">
        <f>IF($A164="","",SUMIFS('Delivery Log'!$E:$E,'Delivery Log'!$B:$B,$A164))</f>
        <v/>
      </c>
      <c r="P164" s="5" t="str">
        <f t="shared" si="4"/>
        <v/>
      </c>
      <c r="Q164" t="str">
        <f t="shared" si="5"/>
        <v/>
      </c>
    </row>
    <row r="165" spans="7:17">
      <c r="G165" s="5"/>
      <c r="H165" s="4"/>
      <c r="I165" s="4"/>
      <c r="K165" t="str">
        <f>IF($A165="","",IF($O165&gt;=$G165,"Delivered",IFERROR(LOOKUP(2,1/(WIPLog!$C$2:$C$1000=$A165),WIPLog!$F$2:$F$1000),"Not Started")))</f>
        <v/>
      </c>
      <c r="L165" s="5" t="str">
        <f>IF($A165="","",SUMIFS(WIPLog!$H:$H,WIPLog!$C:$C,$A165))</f>
        <v/>
      </c>
      <c r="M165" s="5" t="str">
        <f>IF($A165="","",SUMIFS(WIPLog!$I:$I,WIPLog!$C:$C,$A165))</f>
        <v/>
      </c>
      <c r="N165" s="5" t="str">
        <f>IF($A165="","",SUMIFS(WIPLog!$K:$K,WIPLog!$C:$C,$A165))</f>
        <v/>
      </c>
      <c r="O165" s="5" t="str">
        <f>IF($A165="","",SUMIFS('Delivery Log'!$E:$E,'Delivery Log'!$B:$B,$A165))</f>
        <v/>
      </c>
      <c r="P165" s="5" t="str">
        <f t="shared" si="4"/>
        <v/>
      </c>
      <c r="Q165" t="str">
        <f t="shared" si="5"/>
        <v/>
      </c>
    </row>
    <row r="166" spans="7:17">
      <c r="G166" s="5"/>
      <c r="H166" s="4"/>
      <c r="I166" s="4"/>
      <c r="K166" t="str">
        <f>IF($A166="","",IF($O166&gt;=$G166,"Delivered",IFERROR(LOOKUP(2,1/(WIPLog!$C$2:$C$1000=$A166),WIPLog!$F$2:$F$1000),"Not Started")))</f>
        <v/>
      </c>
      <c r="L166" s="5" t="str">
        <f>IF($A166="","",SUMIFS(WIPLog!$H:$H,WIPLog!$C:$C,$A166))</f>
        <v/>
      </c>
      <c r="M166" s="5" t="str">
        <f>IF($A166="","",SUMIFS(WIPLog!$I:$I,WIPLog!$C:$C,$A166))</f>
        <v/>
      </c>
      <c r="N166" s="5" t="str">
        <f>IF($A166="","",SUMIFS(WIPLog!$K:$K,WIPLog!$C:$C,$A166))</f>
        <v/>
      </c>
      <c r="O166" s="5" t="str">
        <f>IF($A166="","",SUMIFS('Delivery Log'!$E:$E,'Delivery Log'!$B:$B,$A166))</f>
        <v/>
      </c>
      <c r="P166" s="5" t="str">
        <f t="shared" si="4"/>
        <v/>
      </c>
      <c r="Q166" t="str">
        <f t="shared" si="5"/>
        <v/>
      </c>
    </row>
    <row r="167" spans="7:17">
      <c r="G167" s="5"/>
      <c r="H167" s="4"/>
      <c r="I167" s="4"/>
      <c r="K167" t="str">
        <f>IF($A167="","",IF($O167&gt;=$G167,"Delivered",IFERROR(LOOKUP(2,1/(WIPLog!$C$2:$C$1000=$A167),WIPLog!$F$2:$F$1000),"Not Started")))</f>
        <v/>
      </c>
      <c r="L167" s="5" t="str">
        <f>IF($A167="","",SUMIFS(WIPLog!$H:$H,WIPLog!$C:$C,$A167))</f>
        <v/>
      </c>
      <c r="M167" s="5" t="str">
        <f>IF($A167="","",SUMIFS(WIPLog!$I:$I,WIPLog!$C:$C,$A167))</f>
        <v/>
      </c>
      <c r="N167" s="5" t="str">
        <f>IF($A167="","",SUMIFS(WIPLog!$K:$K,WIPLog!$C:$C,$A167))</f>
        <v/>
      </c>
      <c r="O167" s="5" t="str">
        <f>IF($A167="","",SUMIFS('Delivery Log'!$E:$E,'Delivery Log'!$B:$B,$A167))</f>
        <v/>
      </c>
      <c r="P167" s="5" t="str">
        <f t="shared" si="4"/>
        <v/>
      </c>
      <c r="Q167" t="str">
        <f t="shared" si="5"/>
        <v/>
      </c>
    </row>
    <row r="168" spans="7:17">
      <c r="G168" s="5"/>
      <c r="H168" s="4"/>
      <c r="I168" s="4"/>
      <c r="K168" t="str">
        <f>IF($A168="","",IF($O168&gt;=$G168,"Delivered",IFERROR(LOOKUP(2,1/(WIPLog!$C$2:$C$1000=$A168),WIPLog!$F$2:$F$1000),"Not Started")))</f>
        <v/>
      </c>
      <c r="L168" s="5" t="str">
        <f>IF($A168="","",SUMIFS(WIPLog!$H:$H,WIPLog!$C:$C,$A168))</f>
        <v/>
      </c>
      <c r="M168" s="5" t="str">
        <f>IF($A168="","",SUMIFS(WIPLog!$I:$I,WIPLog!$C:$C,$A168))</f>
        <v/>
      </c>
      <c r="N168" s="5" t="str">
        <f>IF($A168="","",SUMIFS(WIPLog!$K:$K,WIPLog!$C:$C,$A168))</f>
        <v/>
      </c>
      <c r="O168" s="5" t="str">
        <f>IF($A168="","",SUMIFS('Delivery Log'!$E:$E,'Delivery Log'!$B:$B,$A168))</f>
        <v/>
      </c>
      <c r="P168" s="5" t="str">
        <f t="shared" si="4"/>
        <v/>
      </c>
      <c r="Q168" t="str">
        <f t="shared" si="5"/>
        <v/>
      </c>
    </row>
    <row r="169" spans="7:17">
      <c r="G169" s="5"/>
      <c r="H169" s="4"/>
      <c r="I169" s="4"/>
      <c r="K169" t="str">
        <f>IF($A169="","",IF($O169&gt;=$G169,"Delivered",IFERROR(LOOKUP(2,1/(WIPLog!$C$2:$C$1000=$A169),WIPLog!$F$2:$F$1000),"Not Started")))</f>
        <v/>
      </c>
      <c r="L169" s="5" t="str">
        <f>IF($A169="","",SUMIFS(WIPLog!$H:$H,WIPLog!$C:$C,$A169))</f>
        <v/>
      </c>
      <c r="M169" s="5" t="str">
        <f>IF($A169="","",SUMIFS(WIPLog!$I:$I,WIPLog!$C:$C,$A169))</f>
        <v/>
      </c>
      <c r="N169" s="5" t="str">
        <f>IF($A169="","",SUMIFS(WIPLog!$K:$K,WIPLog!$C:$C,$A169))</f>
        <v/>
      </c>
      <c r="O169" s="5" t="str">
        <f>IF($A169="","",SUMIFS('Delivery Log'!$E:$E,'Delivery Log'!$B:$B,$A169))</f>
        <v/>
      </c>
      <c r="P169" s="5" t="str">
        <f t="shared" si="4"/>
        <v/>
      </c>
      <c r="Q169" t="str">
        <f t="shared" si="5"/>
        <v/>
      </c>
    </row>
    <row r="170" spans="7:17">
      <c r="G170" s="5"/>
      <c r="H170" s="4"/>
      <c r="I170" s="4"/>
      <c r="K170" t="str">
        <f>IF($A170="","",IF($O170&gt;=$G170,"Delivered",IFERROR(LOOKUP(2,1/(WIPLog!$C$2:$C$1000=$A170),WIPLog!$F$2:$F$1000),"Not Started")))</f>
        <v/>
      </c>
      <c r="L170" s="5" t="str">
        <f>IF($A170="","",SUMIFS(WIPLog!$H:$H,WIPLog!$C:$C,$A170))</f>
        <v/>
      </c>
      <c r="M170" s="5" t="str">
        <f>IF($A170="","",SUMIFS(WIPLog!$I:$I,WIPLog!$C:$C,$A170))</f>
        <v/>
      </c>
      <c r="N170" s="5" t="str">
        <f>IF($A170="","",SUMIFS(WIPLog!$K:$K,WIPLog!$C:$C,$A170))</f>
        <v/>
      </c>
      <c r="O170" s="5" t="str">
        <f>IF($A170="","",SUMIFS('Delivery Log'!$E:$E,'Delivery Log'!$B:$B,$A170))</f>
        <v/>
      </c>
      <c r="P170" s="5" t="str">
        <f t="shared" si="4"/>
        <v/>
      </c>
      <c r="Q170" t="str">
        <f t="shared" si="5"/>
        <v/>
      </c>
    </row>
    <row r="171" spans="7:17">
      <c r="G171" s="5"/>
      <c r="H171" s="4"/>
      <c r="I171" s="4"/>
      <c r="K171" t="str">
        <f>IF($A171="","",IF($O171&gt;=$G171,"Delivered",IFERROR(LOOKUP(2,1/(WIPLog!$C$2:$C$1000=$A171),WIPLog!$F$2:$F$1000),"Not Started")))</f>
        <v/>
      </c>
      <c r="L171" s="5" t="str">
        <f>IF($A171="","",SUMIFS(WIPLog!$H:$H,WIPLog!$C:$C,$A171))</f>
        <v/>
      </c>
      <c r="M171" s="5" t="str">
        <f>IF($A171="","",SUMIFS(WIPLog!$I:$I,WIPLog!$C:$C,$A171))</f>
        <v/>
      </c>
      <c r="N171" s="5" t="str">
        <f>IF($A171="","",SUMIFS(WIPLog!$K:$K,WIPLog!$C:$C,$A171))</f>
        <v/>
      </c>
      <c r="O171" s="5" t="str">
        <f>IF($A171="","",SUMIFS('Delivery Log'!$E:$E,'Delivery Log'!$B:$B,$A171))</f>
        <v/>
      </c>
      <c r="P171" s="5" t="str">
        <f t="shared" si="4"/>
        <v/>
      </c>
      <c r="Q171" t="str">
        <f t="shared" si="5"/>
        <v/>
      </c>
    </row>
    <row r="172" spans="7:17">
      <c r="G172" s="5"/>
      <c r="H172" s="4"/>
      <c r="I172" s="4"/>
      <c r="K172" t="str">
        <f>IF($A172="","",IF($O172&gt;=$G172,"Delivered",IFERROR(LOOKUP(2,1/(WIPLog!$C$2:$C$1000=$A172),WIPLog!$F$2:$F$1000),"Not Started")))</f>
        <v/>
      </c>
      <c r="L172" s="5" t="str">
        <f>IF($A172="","",SUMIFS(WIPLog!$H:$H,WIPLog!$C:$C,$A172))</f>
        <v/>
      </c>
      <c r="M172" s="5" t="str">
        <f>IF($A172="","",SUMIFS(WIPLog!$I:$I,WIPLog!$C:$C,$A172))</f>
        <v/>
      </c>
      <c r="N172" s="5" t="str">
        <f>IF($A172="","",SUMIFS(WIPLog!$K:$K,WIPLog!$C:$C,$A172))</f>
        <v/>
      </c>
      <c r="O172" s="5" t="str">
        <f>IF($A172="","",SUMIFS('Delivery Log'!$E:$E,'Delivery Log'!$B:$B,$A172))</f>
        <v/>
      </c>
      <c r="P172" s="5" t="str">
        <f t="shared" si="4"/>
        <v/>
      </c>
      <c r="Q172" t="str">
        <f t="shared" si="5"/>
        <v/>
      </c>
    </row>
    <row r="173" spans="7:17">
      <c r="G173" s="5"/>
      <c r="H173" s="4"/>
      <c r="I173" s="4"/>
      <c r="K173" t="str">
        <f>IF($A173="","",IF($O173&gt;=$G173,"Delivered",IFERROR(LOOKUP(2,1/(WIPLog!$C$2:$C$1000=$A173),WIPLog!$F$2:$F$1000),"Not Started")))</f>
        <v/>
      </c>
      <c r="L173" s="5" t="str">
        <f>IF($A173="","",SUMIFS(WIPLog!$H:$H,WIPLog!$C:$C,$A173))</f>
        <v/>
      </c>
      <c r="M173" s="5" t="str">
        <f>IF($A173="","",SUMIFS(WIPLog!$I:$I,WIPLog!$C:$C,$A173))</f>
        <v/>
      </c>
      <c r="N173" s="5" t="str">
        <f>IF($A173="","",SUMIFS(WIPLog!$K:$K,WIPLog!$C:$C,$A173))</f>
        <v/>
      </c>
      <c r="O173" s="5" t="str">
        <f>IF($A173="","",SUMIFS('Delivery Log'!$E:$E,'Delivery Log'!$B:$B,$A173))</f>
        <v/>
      </c>
      <c r="P173" s="5" t="str">
        <f t="shared" si="4"/>
        <v/>
      </c>
      <c r="Q173" t="str">
        <f t="shared" si="5"/>
        <v/>
      </c>
    </row>
    <row r="174" spans="7:17">
      <c r="G174" s="5"/>
      <c r="H174" s="4"/>
      <c r="I174" s="4"/>
      <c r="K174" t="str">
        <f>IF($A174="","",IF($O174&gt;=$G174,"Delivered",IFERROR(LOOKUP(2,1/(WIPLog!$C$2:$C$1000=$A174),WIPLog!$F$2:$F$1000),"Not Started")))</f>
        <v/>
      </c>
      <c r="L174" s="5" t="str">
        <f>IF($A174="","",SUMIFS(WIPLog!$H:$H,WIPLog!$C:$C,$A174))</f>
        <v/>
      </c>
      <c r="M174" s="5" t="str">
        <f>IF($A174="","",SUMIFS(WIPLog!$I:$I,WIPLog!$C:$C,$A174))</f>
        <v/>
      </c>
      <c r="N174" s="5" t="str">
        <f>IF($A174="","",SUMIFS(WIPLog!$K:$K,WIPLog!$C:$C,$A174))</f>
        <v/>
      </c>
      <c r="O174" s="5" t="str">
        <f>IF($A174="","",SUMIFS('Delivery Log'!$E:$E,'Delivery Log'!$B:$B,$A174))</f>
        <v/>
      </c>
      <c r="P174" s="5" t="str">
        <f t="shared" si="4"/>
        <v/>
      </c>
      <c r="Q174" t="str">
        <f t="shared" si="5"/>
        <v/>
      </c>
    </row>
    <row r="175" spans="7:17">
      <c r="G175" s="5"/>
      <c r="H175" s="4"/>
      <c r="I175" s="4"/>
      <c r="K175" t="str">
        <f>IF($A175="","",IF($O175&gt;=$G175,"Delivered",IFERROR(LOOKUP(2,1/(WIPLog!$C$2:$C$1000=$A175),WIPLog!$F$2:$F$1000),"Not Started")))</f>
        <v/>
      </c>
      <c r="L175" s="5" t="str">
        <f>IF($A175="","",SUMIFS(WIPLog!$H:$H,WIPLog!$C:$C,$A175))</f>
        <v/>
      </c>
      <c r="M175" s="5" t="str">
        <f>IF($A175="","",SUMIFS(WIPLog!$I:$I,WIPLog!$C:$C,$A175))</f>
        <v/>
      </c>
      <c r="N175" s="5" t="str">
        <f>IF($A175="","",SUMIFS(WIPLog!$K:$K,WIPLog!$C:$C,$A175))</f>
        <v/>
      </c>
      <c r="O175" s="5" t="str">
        <f>IF($A175="","",SUMIFS('Delivery Log'!$E:$E,'Delivery Log'!$B:$B,$A175))</f>
        <v/>
      </c>
      <c r="P175" s="5" t="str">
        <f t="shared" si="4"/>
        <v/>
      </c>
      <c r="Q175" t="str">
        <f t="shared" si="5"/>
        <v/>
      </c>
    </row>
    <row r="176" spans="7:17">
      <c r="G176" s="5"/>
      <c r="H176" s="4"/>
      <c r="I176" s="4"/>
      <c r="K176" t="str">
        <f>IF($A176="","",IF($O176&gt;=$G176,"Delivered",IFERROR(LOOKUP(2,1/(WIPLog!$C$2:$C$1000=$A176),WIPLog!$F$2:$F$1000),"Not Started")))</f>
        <v/>
      </c>
      <c r="L176" s="5" t="str">
        <f>IF($A176="","",SUMIFS(WIPLog!$H:$H,WIPLog!$C:$C,$A176))</f>
        <v/>
      </c>
      <c r="M176" s="5" t="str">
        <f>IF($A176="","",SUMIFS(WIPLog!$I:$I,WIPLog!$C:$C,$A176))</f>
        <v/>
      </c>
      <c r="N176" s="5" t="str">
        <f>IF($A176="","",SUMIFS(WIPLog!$K:$K,WIPLog!$C:$C,$A176))</f>
        <v/>
      </c>
      <c r="O176" s="5" t="str">
        <f>IF($A176="","",SUMIFS('Delivery Log'!$E:$E,'Delivery Log'!$B:$B,$A176))</f>
        <v/>
      </c>
      <c r="P176" s="5" t="str">
        <f t="shared" si="4"/>
        <v/>
      </c>
      <c r="Q176" t="str">
        <f t="shared" si="5"/>
        <v/>
      </c>
    </row>
    <row r="177" spans="7:17">
      <c r="G177" s="5"/>
      <c r="H177" s="4"/>
      <c r="I177" s="4"/>
      <c r="K177" t="str">
        <f>IF($A177="","",IF($O177&gt;=$G177,"Delivered",IFERROR(LOOKUP(2,1/(WIPLog!$C$2:$C$1000=$A177),WIPLog!$F$2:$F$1000),"Not Started")))</f>
        <v/>
      </c>
      <c r="L177" s="5" t="str">
        <f>IF($A177="","",SUMIFS(WIPLog!$H:$H,WIPLog!$C:$C,$A177))</f>
        <v/>
      </c>
      <c r="M177" s="5" t="str">
        <f>IF($A177="","",SUMIFS(WIPLog!$I:$I,WIPLog!$C:$C,$A177))</f>
        <v/>
      </c>
      <c r="N177" s="5" t="str">
        <f>IF($A177="","",SUMIFS(WIPLog!$K:$K,WIPLog!$C:$C,$A177))</f>
        <v/>
      </c>
      <c r="O177" s="5" t="str">
        <f>IF($A177="","",SUMIFS('Delivery Log'!$E:$E,'Delivery Log'!$B:$B,$A177))</f>
        <v/>
      </c>
      <c r="P177" s="5" t="str">
        <f t="shared" si="4"/>
        <v/>
      </c>
      <c r="Q177" t="str">
        <f t="shared" si="5"/>
        <v/>
      </c>
    </row>
    <row r="178" spans="7:17">
      <c r="G178" s="5"/>
      <c r="H178" s="4"/>
      <c r="I178" s="4"/>
      <c r="K178" t="str">
        <f>IF($A178="","",IF($O178&gt;=$G178,"Delivered",IFERROR(LOOKUP(2,1/(WIPLog!$C$2:$C$1000=$A178),WIPLog!$F$2:$F$1000),"Not Started")))</f>
        <v/>
      </c>
      <c r="L178" s="5" t="str">
        <f>IF($A178="","",SUMIFS(WIPLog!$H:$H,WIPLog!$C:$C,$A178))</f>
        <v/>
      </c>
      <c r="M178" s="5" t="str">
        <f>IF($A178="","",SUMIFS(WIPLog!$I:$I,WIPLog!$C:$C,$A178))</f>
        <v/>
      </c>
      <c r="N178" s="5" t="str">
        <f>IF($A178="","",SUMIFS(WIPLog!$K:$K,WIPLog!$C:$C,$A178))</f>
        <v/>
      </c>
      <c r="O178" s="5" t="str">
        <f>IF($A178="","",SUMIFS('Delivery Log'!$E:$E,'Delivery Log'!$B:$B,$A178))</f>
        <v/>
      </c>
      <c r="P178" s="5" t="str">
        <f t="shared" si="4"/>
        <v/>
      </c>
      <c r="Q178" t="str">
        <f t="shared" si="5"/>
        <v/>
      </c>
    </row>
    <row r="179" spans="7:17">
      <c r="G179" s="5"/>
      <c r="H179" s="4"/>
      <c r="I179" s="4"/>
      <c r="K179" t="str">
        <f>IF($A179="","",IF($O179&gt;=$G179,"Delivered",IFERROR(LOOKUP(2,1/(WIPLog!$C$2:$C$1000=$A179),WIPLog!$F$2:$F$1000),"Not Started")))</f>
        <v/>
      </c>
      <c r="L179" s="5" t="str">
        <f>IF($A179="","",SUMIFS(WIPLog!$H:$H,WIPLog!$C:$C,$A179))</f>
        <v/>
      </c>
      <c r="M179" s="5" t="str">
        <f>IF($A179="","",SUMIFS(WIPLog!$I:$I,WIPLog!$C:$C,$A179))</f>
        <v/>
      </c>
      <c r="N179" s="5" t="str">
        <f>IF($A179="","",SUMIFS(WIPLog!$K:$K,WIPLog!$C:$C,$A179))</f>
        <v/>
      </c>
      <c r="O179" s="5" t="str">
        <f>IF($A179="","",SUMIFS('Delivery Log'!$E:$E,'Delivery Log'!$B:$B,$A179))</f>
        <v/>
      </c>
      <c r="P179" s="5" t="str">
        <f t="shared" si="4"/>
        <v/>
      </c>
      <c r="Q179" t="str">
        <f t="shared" si="5"/>
        <v/>
      </c>
    </row>
    <row r="180" spans="7:17">
      <c r="G180" s="5"/>
      <c r="H180" s="4"/>
      <c r="I180" s="4"/>
      <c r="K180" t="str">
        <f>IF($A180="","",IF($O180&gt;=$G180,"Delivered",IFERROR(LOOKUP(2,1/(WIPLog!$C$2:$C$1000=$A180),WIPLog!$F$2:$F$1000),"Not Started")))</f>
        <v/>
      </c>
      <c r="L180" s="5" t="str">
        <f>IF($A180="","",SUMIFS(WIPLog!$H:$H,WIPLog!$C:$C,$A180))</f>
        <v/>
      </c>
      <c r="M180" s="5" t="str">
        <f>IF($A180="","",SUMIFS(WIPLog!$I:$I,WIPLog!$C:$C,$A180))</f>
        <v/>
      </c>
      <c r="N180" s="5" t="str">
        <f>IF($A180="","",SUMIFS(WIPLog!$K:$K,WIPLog!$C:$C,$A180))</f>
        <v/>
      </c>
      <c r="O180" s="5" t="str">
        <f>IF($A180="","",SUMIFS('Delivery Log'!$E:$E,'Delivery Log'!$B:$B,$A180))</f>
        <v/>
      </c>
      <c r="P180" s="5" t="str">
        <f t="shared" si="4"/>
        <v/>
      </c>
      <c r="Q180" t="str">
        <f t="shared" si="5"/>
        <v/>
      </c>
    </row>
    <row r="181" spans="7:17">
      <c r="G181" s="5"/>
      <c r="H181" s="4"/>
      <c r="I181" s="4"/>
      <c r="K181" t="str">
        <f>IF($A181="","",IF($O181&gt;=$G181,"Delivered",IFERROR(LOOKUP(2,1/(WIPLog!$C$2:$C$1000=$A181),WIPLog!$F$2:$F$1000),"Not Started")))</f>
        <v/>
      </c>
      <c r="L181" s="5" t="str">
        <f>IF($A181="","",SUMIFS(WIPLog!$H:$H,WIPLog!$C:$C,$A181))</f>
        <v/>
      </c>
      <c r="M181" s="5" t="str">
        <f>IF($A181="","",SUMIFS(WIPLog!$I:$I,WIPLog!$C:$C,$A181))</f>
        <v/>
      </c>
      <c r="N181" s="5" t="str">
        <f>IF($A181="","",SUMIFS(WIPLog!$K:$K,WIPLog!$C:$C,$A181))</f>
        <v/>
      </c>
      <c r="O181" s="5" t="str">
        <f>IF($A181="","",SUMIFS('Delivery Log'!$E:$E,'Delivery Log'!$B:$B,$A181))</f>
        <v/>
      </c>
      <c r="P181" s="5" t="str">
        <f t="shared" si="4"/>
        <v/>
      </c>
      <c r="Q181" t="str">
        <f t="shared" si="5"/>
        <v/>
      </c>
    </row>
    <row r="182" spans="7:17">
      <c r="G182" s="5"/>
      <c r="H182" s="4"/>
      <c r="I182" s="4"/>
      <c r="K182" t="str">
        <f>IF($A182="","",IF($O182&gt;=$G182,"Delivered",IFERROR(LOOKUP(2,1/(WIPLog!$C$2:$C$1000=$A182),WIPLog!$F$2:$F$1000),"Not Started")))</f>
        <v/>
      </c>
      <c r="L182" s="5" t="str">
        <f>IF($A182="","",SUMIFS(WIPLog!$H:$H,WIPLog!$C:$C,$A182))</f>
        <v/>
      </c>
      <c r="M182" s="5" t="str">
        <f>IF($A182="","",SUMIFS(WIPLog!$I:$I,WIPLog!$C:$C,$A182))</f>
        <v/>
      </c>
      <c r="N182" s="5" t="str">
        <f>IF($A182="","",SUMIFS(WIPLog!$K:$K,WIPLog!$C:$C,$A182))</f>
        <v/>
      </c>
      <c r="O182" s="5" t="str">
        <f>IF($A182="","",SUMIFS('Delivery Log'!$E:$E,'Delivery Log'!$B:$B,$A182))</f>
        <v/>
      </c>
      <c r="P182" s="5" t="str">
        <f t="shared" si="4"/>
        <v/>
      </c>
      <c r="Q182" t="str">
        <f t="shared" si="5"/>
        <v/>
      </c>
    </row>
    <row r="183" spans="7:17">
      <c r="G183" s="5"/>
      <c r="H183" s="4"/>
      <c r="I183" s="4"/>
      <c r="K183" t="str">
        <f>IF($A183="","",IF($O183&gt;=$G183,"Delivered",IFERROR(LOOKUP(2,1/(WIPLog!$C$2:$C$1000=$A183),WIPLog!$F$2:$F$1000),"Not Started")))</f>
        <v/>
      </c>
      <c r="L183" s="5" t="str">
        <f>IF($A183="","",SUMIFS(WIPLog!$H:$H,WIPLog!$C:$C,$A183))</f>
        <v/>
      </c>
      <c r="M183" s="5" t="str">
        <f>IF($A183="","",SUMIFS(WIPLog!$I:$I,WIPLog!$C:$C,$A183))</f>
        <v/>
      </c>
      <c r="N183" s="5" t="str">
        <f>IF($A183="","",SUMIFS(WIPLog!$K:$K,WIPLog!$C:$C,$A183))</f>
        <v/>
      </c>
      <c r="O183" s="5" t="str">
        <f>IF($A183="","",SUMIFS('Delivery Log'!$E:$E,'Delivery Log'!$B:$B,$A183))</f>
        <v/>
      </c>
      <c r="P183" s="5" t="str">
        <f t="shared" si="4"/>
        <v/>
      </c>
      <c r="Q183" t="str">
        <f t="shared" si="5"/>
        <v/>
      </c>
    </row>
    <row r="184" spans="7:17">
      <c r="G184" s="5"/>
      <c r="H184" s="4"/>
      <c r="I184" s="4"/>
      <c r="K184" t="str">
        <f>IF($A184="","",IF($O184&gt;=$G184,"Delivered",IFERROR(LOOKUP(2,1/(WIPLog!$C$2:$C$1000=$A184),WIPLog!$F$2:$F$1000),"Not Started")))</f>
        <v/>
      </c>
      <c r="L184" s="5" t="str">
        <f>IF($A184="","",SUMIFS(WIPLog!$H:$H,WIPLog!$C:$C,$A184))</f>
        <v/>
      </c>
      <c r="M184" s="5" t="str">
        <f>IF($A184="","",SUMIFS(WIPLog!$I:$I,WIPLog!$C:$C,$A184))</f>
        <v/>
      </c>
      <c r="N184" s="5" t="str">
        <f>IF($A184="","",SUMIFS(WIPLog!$K:$K,WIPLog!$C:$C,$A184))</f>
        <v/>
      </c>
      <c r="O184" s="5" t="str">
        <f>IF($A184="","",SUMIFS('Delivery Log'!$E:$E,'Delivery Log'!$B:$B,$A184))</f>
        <v/>
      </c>
      <c r="P184" s="5" t="str">
        <f t="shared" si="4"/>
        <v/>
      </c>
      <c r="Q184" t="str">
        <f t="shared" si="5"/>
        <v/>
      </c>
    </row>
    <row r="185" spans="7:17">
      <c r="G185" s="5"/>
      <c r="H185" s="4"/>
      <c r="I185" s="4"/>
      <c r="K185" t="str">
        <f>IF($A185="","",IF($O185&gt;=$G185,"Delivered",IFERROR(LOOKUP(2,1/(WIPLog!$C$2:$C$1000=$A185),WIPLog!$F$2:$F$1000),"Not Started")))</f>
        <v/>
      </c>
      <c r="L185" s="5" t="str">
        <f>IF($A185="","",SUMIFS(WIPLog!$H:$H,WIPLog!$C:$C,$A185))</f>
        <v/>
      </c>
      <c r="M185" s="5" t="str">
        <f>IF($A185="","",SUMIFS(WIPLog!$I:$I,WIPLog!$C:$C,$A185))</f>
        <v/>
      </c>
      <c r="N185" s="5" t="str">
        <f>IF($A185="","",SUMIFS(WIPLog!$K:$K,WIPLog!$C:$C,$A185))</f>
        <v/>
      </c>
      <c r="O185" s="5" t="str">
        <f>IF($A185="","",SUMIFS('Delivery Log'!$E:$E,'Delivery Log'!$B:$B,$A185))</f>
        <v/>
      </c>
      <c r="P185" s="5" t="str">
        <f t="shared" si="4"/>
        <v/>
      </c>
      <c r="Q185" t="str">
        <f t="shared" si="5"/>
        <v/>
      </c>
    </row>
    <row r="186" spans="7:17">
      <c r="G186" s="5"/>
      <c r="H186" s="4"/>
      <c r="I186" s="4"/>
      <c r="K186" t="str">
        <f>IF($A186="","",IF($O186&gt;=$G186,"Delivered",IFERROR(LOOKUP(2,1/(WIPLog!$C$2:$C$1000=$A186),WIPLog!$F$2:$F$1000),"Not Started")))</f>
        <v/>
      </c>
      <c r="L186" s="5" t="str">
        <f>IF($A186="","",SUMIFS(WIPLog!$H:$H,WIPLog!$C:$C,$A186))</f>
        <v/>
      </c>
      <c r="M186" s="5" t="str">
        <f>IF($A186="","",SUMIFS(WIPLog!$I:$I,WIPLog!$C:$C,$A186))</f>
        <v/>
      </c>
      <c r="N186" s="5" t="str">
        <f>IF($A186="","",SUMIFS(WIPLog!$K:$K,WIPLog!$C:$C,$A186))</f>
        <v/>
      </c>
      <c r="O186" s="5" t="str">
        <f>IF($A186="","",SUMIFS('Delivery Log'!$E:$E,'Delivery Log'!$B:$B,$A186))</f>
        <v/>
      </c>
      <c r="P186" s="5" t="str">
        <f t="shared" si="4"/>
        <v/>
      </c>
      <c r="Q186" t="str">
        <f t="shared" si="5"/>
        <v/>
      </c>
    </row>
    <row r="187" spans="7:17">
      <c r="G187" s="5"/>
      <c r="H187" s="4"/>
      <c r="I187" s="4"/>
      <c r="K187" t="str">
        <f>IF($A187="","",IF($O187&gt;=$G187,"Delivered",IFERROR(LOOKUP(2,1/(WIPLog!$C$2:$C$1000=$A187),WIPLog!$F$2:$F$1000),"Not Started")))</f>
        <v/>
      </c>
      <c r="L187" s="5" t="str">
        <f>IF($A187="","",SUMIFS(WIPLog!$H:$H,WIPLog!$C:$C,$A187))</f>
        <v/>
      </c>
      <c r="M187" s="5" t="str">
        <f>IF($A187="","",SUMIFS(WIPLog!$I:$I,WIPLog!$C:$C,$A187))</f>
        <v/>
      </c>
      <c r="N187" s="5" t="str">
        <f>IF($A187="","",SUMIFS(WIPLog!$K:$K,WIPLog!$C:$C,$A187))</f>
        <v/>
      </c>
      <c r="O187" s="5" t="str">
        <f>IF($A187="","",SUMIFS('Delivery Log'!$E:$E,'Delivery Log'!$B:$B,$A187))</f>
        <v/>
      </c>
      <c r="P187" s="5" t="str">
        <f t="shared" si="4"/>
        <v/>
      </c>
      <c r="Q187" t="str">
        <f t="shared" si="5"/>
        <v/>
      </c>
    </row>
    <row r="188" spans="7:17">
      <c r="G188" s="5"/>
      <c r="H188" s="4"/>
      <c r="I188" s="4"/>
      <c r="K188" t="str">
        <f>IF($A188="","",IF($O188&gt;=$G188,"Delivered",IFERROR(LOOKUP(2,1/(WIPLog!$C$2:$C$1000=$A188),WIPLog!$F$2:$F$1000),"Not Started")))</f>
        <v/>
      </c>
      <c r="L188" s="5" t="str">
        <f>IF($A188="","",SUMIFS(WIPLog!$H:$H,WIPLog!$C:$C,$A188))</f>
        <v/>
      </c>
      <c r="M188" s="5" t="str">
        <f>IF($A188="","",SUMIFS(WIPLog!$I:$I,WIPLog!$C:$C,$A188))</f>
        <v/>
      </c>
      <c r="N188" s="5" t="str">
        <f>IF($A188="","",SUMIFS(WIPLog!$K:$K,WIPLog!$C:$C,$A188))</f>
        <v/>
      </c>
      <c r="O188" s="5" t="str">
        <f>IF($A188="","",SUMIFS('Delivery Log'!$E:$E,'Delivery Log'!$B:$B,$A188))</f>
        <v/>
      </c>
      <c r="P188" s="5" t="str">
        <f t="shared" si="4"/>
        <v/>
      </c>
      <c r="Q188" t="str">
        <f t="shared" si="5"/>
        <v/>
      </c>
    </row>
    <row r="189" spans="7:17">
      <c r="G189" s="5"/>
      <c r="H189" s="4"/>
      <c r="I189" s="4"/>
      <c r="K189" t="str">
        <f>IF($A189="","",IF($O189&gt;=$G189,"Delivered",IFERROR(LOOKUP(2,1/(WIPLog!$C$2:$C$1000=$A189),WIPLog!$F$2:$F$1000),"Not Started")))</f>
        <v/>
      </c>
      <c r="L189" s="5" t="str">
        <f>IF($A189="","",SUMIFS(WIPLog!$H:$H,WIPLog!$C:$C,$A189))</f>
        <v/>
      </c>
      <c r="M189" s="5" t="str">
        <f>IF($A189="","",SUMIFS(WIPLog!$I:$I,WIPLog!$C:$C,$A189))</f>
        <v/>
      </c>
      <c r="N189" s="5" t="str">
        <f>IF($A189="","",SUMIFS(WIPLog!$K:$K,WIPLog!$C:$C,$A189))</f>
        <v/>
      </c>
      <c r="O189" s="5" t="str">
        <f>IF($A189="","",SUMIFS('Delivery Log'!$E:$E,'Delivery Log'!$B:$B,$A189))</f>
        <v/>
      </c>
      <c r="P189" s="5" t="str">
        <f t="shared" si="4"/>
        <v/>
      </c>
      <c r="Q189" t="str">
        <f t="shared" si="5"/>
        <v/>
      </c>
    </row>
    <row r="190" spans="7:17">
      <c r="G190" s="5"/>
      <c r="H190" s="4"/>
      <c r="I190" s="4"/>
      <c r="K190" t="str">
        <f>IF($A190="","",IF($O190&gt;=$G190,"Delivered",IFERROR(LOOKUP(2,1/(WIPLog!$C$2:$C$1000=$A190),WIPLog!$F$2:$F$1000),"Not Started")))</f>
        <v/>
      </c>
      <c r="L190" s="5" t="str">
        <f>IF($A190="","",SUMIFS(WIPLog!$H:$H,WIPLog!$C:$C,$A190))</f>
        <v/>
      </c>
      <c r="M190" s="5" t="str">
        <f>IF($A190="","",SUMIFS(WIPLog!$I:$I,WIPLog!$C:$C,$A190))</f>
        <v/>
      </c>
      <c r="N190" s="5" t="str">
        <f>IF($A190="","",SUMIFS(WIPLog!$K:$K,WIPLog!$C:$C,$A190))</f>
        <v/>
      </c>
      <c r="O190" s="5" t="str">
        <f>IF($A190="","",SUMIFS('Delivery Log'!$E:$E,'Delivery Log'!$B:$B,$A190))</f>
        <v/>
      </c>
      <c r="P190" s="5" t="str">
        <f t="shared" si="4"/>
        <v/>
      </c>
      <c r="Q190" t="str">
        <f t="shared" si="5"/>
        <v/>
      </c>
    </row>
    <row r="191" spans="7:17">
      <c r="G191" s="5"/>
      <c r="H191" s="4"/>
      <c r="I191" s="4"/>
      <c r="K191" t="str">
        <f>IF($A191="","",IF($O191&gt;=$G191,"Delivered",IFERROR(LOOKUP(2,1/(WIPLog!$C$2:$C$1000=$A191),WIPLog!$F$2:$F$1000),"Not Started")))</f>
        <v/>
      </c>
      <c r="L191" s="5" t="str">
        <f>IF($A191="","",SUMIFS(WIPLog!$H:$H,WIPLog!$C:$C,$A191))</f>
        <v/>
      </c>
      <c r="M191" s="5" t="str">
        <f>IF($A191="","",SUMIFS(WIPLog!$I:$I,WIPLog!$C:$C,$A191))</f>
        <v/>
      </c>
      <c r="N191" s="5" t="str">
        <f>IF($A191="","",SUMIFS(WIPLog!$K:$K,WIPLog!$C:$C,$A191))</f>
        <v/>
      </c>
      <c r="O191" s="5" t="str">
        <f>IF($A191="","",SUMIFS('Delivery Log'!$E:$E,'Delivery Log'!$B:$B,$A191))</f>
        <v/>
      </c>
      <c r="P191" s="5" t="str">
        <f t="shared" si="4"/>
        <v/>
      </c>
      <c r="Q191" t="str">
        <f t="shared" si="5"/>
        <v/>
      </c>
    </row>
    <row r="192" spans="7:17">
      <c r="G192" s="5"/>
      <c r="H192" s="4"/>
      <c r="I192" s="4"/>
      <c r="K192" t="str">
        <f>IF($A192="","",IF($O192&gt;=$G192,"Delivered",IFERROR(LOOKUP(2,1/(WIPLog!$C$2:$C$1000=$A192),WIPLog!$F$2:$F$1000),"Not Started")))</f>
        <v/>
      </c>
      <c r="L192" s="5" t="str">
        <f>IF($A192="","",SUMIFS(WIPLog!$H:$H,WIPLog!$C:$C,$A192))</f>
        <v/>
      </c>
      <c r="M192" s="5" t="str">
        <f>IF($A192="","",SUMIFS(WIPLog!$I:$I,WIPLog!$C:$C,$A192))</f>
        <v/>
      </c>
      <c r="N192" s="5" t="str">
        <f>IF($A192="","",SUMIFS(WIPLog!$K:$K,WIPLog!$C:$C,$A192))</f>
        <v/>
      </c>
      <c r="O192" s="5" t="str">
        <f>IF($A192="","",SUMIFS('Delivery Log'!$E:$E,'Delivery Log'!$B:$B,$A192))</f>
        <v/>
      </c>
      <c r="P192" s="5" t="str">
        <f t="shared" si="4"/>
        <v/>
      </c>
      <c r="Q192" t="str">
        <f t="shared" si="5"/>
        <v/>
      </c>
    </row>
    <row r="193" spans="7:17">
      <c r="G193" s="5"/>
      <c r="H193" s="4"/>
      <c r="I193" s="4"/>
      <c r="K193" t="str">
        <f>IF($A193="","",IF($O193&gt;=$G193,"Delivered",IFERROR(LOOKUP(2,1/(WIPLog!$C$2:$C$1000=$A193),WIPLog!$F$2:$F$1000),"Not Started")))</f>
        <v/>
      </c>
      <c r="L193" s="5" t="str">
        <f>IF($A193="","",SUMIFS(WIPLog!$H:$H,WIPLog!$C:$C,$A193))</f>
        <v/>
      </c>
      <c r="M193" s="5" t="str">
        <f>IF($A193="","",SUMIFS(WIPLog!$I:$I,WIPLog!$C:$C,$A193))</f>
        <v/>
      </c>
      <c r="N193" s="5" t="str">
        <f>IF($A193="","",SUMIFS(WIPLog!$K:$K,WIPLog!$C:$C,$A193))</f>
        <v/>
      </c>
      <c r="O193" s="5" t="str">
        <f>IF($A193="","",SUMIFS('Delivery Log'!$E:$E,'Delivery Log'!$B:$B,$A193))</f>
        <v/>
      </c>
      <c r="P193" s="5" t="str">
        <f t="shared" si="4"/>
        <v/>
      </c>
      <c r="Q193" t="str">
        <f t="shared" si="5"/>
        <v/>
      </c>
    </row>
    <row r="194" spans="7:17">
      <c r="G194" s="5"/>
      <c r="H194" s="4"/>
      <c r="I194" s="4"/>
      <c r="K194" t="str">
        <f>IF($A194="","",IF($O194&gt;=$G194,"Delivered",IFERROR(LOOKUP(2,1/(WIPLog!$C$2:$C$1000=$A194),WIPLog!$F$2:$F$1000),"Not Started")))</f>
        <v/>
      </c>
      <c r="L194" s="5" t="str">
        <f>IF($A194="","",SUMIFS(WIPLog!$H:$H,WIPLog!$C:$C,$A194))</f>
        <v/>
      </c>
      <c r="M194" s="5" t="str">
        <f>IF($A194="","",SUMIFS(WIPLog!$I:$I,WIPLog!$C:$C,$A194))</f>
        <v/>
      </c>
      <c r="N194" s="5" t="str">
        <f>IF($A194="","",SUMIFS(WIPLog!$K:$K,WIPLog!$C:$C,$A194))</f>
        <v/>
      </c>
      <c r="O194" s="5" t="str">
        <f>IF($A194="","",SUMIFS('Delivery Log'!$E:$E,'Delivery Log'!$B:$B,$A194))</f>
        <v/>
      </c>
      <c r="P194" s="5" t="str">
        <f t="shared" ref="P194:P257" si="6">IF($A194="","",MAX(0,$G194-$O194-$N194))</f>
        <v/>
      </c>
      <c r="Q194" t="str">
        <f t="shared" ref="Q194:Q257" si="7">IF($A194="","",IF($O194&gt;=$G194,"Delivered",IF($O194&gt;0,"Partial",IF($P194=0,"Closed","Open"))))</f>
        <v/>
      </c>
    </row>
    <row r="195" spans="7:17">
      <c r="G195" s="5"/>
      <c r="H195" s="4"/>
      <c r="I195" s="4"/>
      <c r="K195" t="str">
        <f>IF($A195="","",IF($O195&gt;=$G195,"Delivered",IFERROR(LOOKUP(2,1/(WIPLog!$C$2:$C$1000=$A195),WIPLog!$F$2:$F$1000),"Not Started")))</f>
        <v/>
      </c>
      <c r="L195" s="5" t="str">
        <f>IF($A195="","",SUMIFS(WIPLog!$H:$H,WIPLog!$C:$C,$A195))</f>
        <v/>
      </c>
      <c r="M195" s="5" t="str">
        <f>IF($A195="","",SUMIFS(WIPLog!$I:$I,WIPLog!$C:$C,$A195))</f>
        <v/>
      </c>
      <c r="N195" s="5" t="str">
        <f>IF($A195="","",SUMIFS(WIPLog!$K:$K,WIPLog!$C:$C,$A195))</f>
        <v/>
      </c>
      <c r="O195" s="5" t="str">
        <f>IF($A195="","",SUMIFS('Delivery Log'!$E:$E,'Delivery Log'!$B:$B,$A195))</f>
        <v/>
      </c>
      <c r="P195" s="5" t="str">
        <f t="shared" si="6"/>
        <v/>
      </c>
      <c r="Q195" t="str">
        <f t="shared" si="7"/>
        <v/>
      </c>
    </row>
    <row r="196" spans="7:17">
      <c r="G196" s="5"/>
      <c r="H196" s="4"/>
      <c r="I196" s="4"/>
      <c r="K196" t="str">
        <f>IF($A196="","",IF($O196&gt;=$G196,"Delivered",IFERROR(LOOKUP(2,1/(WIPLog!$C$2:$C$1000=$A196),WIPLog!$F$2:$F$1000),"Not Started")))</f>
        <v/>
      </c>
      <c r="L196" s="5" t="str">
        <f>IF($A196="","",SUMIFS(WIPLog!$H:$H,WIPLog!$C:$C,$A196))</f>
        <v/>
      </c>
      <c r="M196" s="5" t="str">
        <f>IF($A196="","",SUMIFS(WIPLog!$I:$I,WIPLog!$C:$C,$A196))</f>
        <v/>
      </c>
      <c r="N196" s="5" t="str">
        <f>IF($A196="","",SUMIFS(WIPLog!$K:$K,WIPLog!$C:$C,$A196))</f>
        <v/>
      </c>
      <c r="O196" s="5" t="str">
        <f>IF($A196="","",SUMIFS('Delivery Log'!$E:$E,'Delivery Log'!$B:$B,$A196))</f>
        <v/>
      </c>
      <c r="P196" s="5" t="str">
        <f t="shared" si="6"/>
        <v/>
      </c>
      <c r="Q196" t="str">
        <f t="shared" si="7"/>
        <v/>
      </c>
    </row>
    <row r="197" spans="7:17">
      <c r="G197" s="5"/>
      <c r="H197" s="4"/>
      <c r="I197" s="4"/>
      <c r="K197" t="str">
        <f>IF($A197="","",IF($O197&gt;=$G197,"Delivered",IFERROR(LOOKUP(2,1/(WIPLog!$C$2:$C$1000=$A197),WIPLog!$F$2:$F$1000),"Not Started")))</f>
        <v/>
      </c>
      <c r="L197" s="5" t="str">
        <f>IF($A197="","",SUMIFS(WIPLog!$H:$H,WIPLog!$C:$C,$A197))</f>
        <v/>
      </c>
      <c r="M197" s="5" t="str">
        <f>IF($A197="","",SUMIFS(WIPLog!$I:$I,WIPLog!$C:$C,$A197))</f>
        <v/>
      </c>
      <c r="N197" s="5" t="str">
        <f>IF($A197="","",SUMIFS(WIPLog!$K:$K,WIPLog!$C:$C,$A197))</f>
        <v/>
      </c>
      <c r="O197" s="5" t="str">
        <f>IF($A197="","",SUMIFS('Delivery Log'!$E:$E,'Delivery Log'!$B:$B,$A197))</f>
        <v/>
      </c>
      <c r="P197" s="5" t="str">
        <f t="shared" si="6"/>
        <v/>
      </c>
      <c r="Q197" t="str">
        <f t="shared" si="7"/>
        <v/>
      </c>
    </row>
    <row r="198" spans="7:17">
      <c r="G198" s="5"/>
      <c r="H198" s="4"/>
      <c r="I198" s="4"/>
      <c r="K198" t="str">
        <f>IF($A198="","",IF($O198&gt;=$G198,"Delivered",IFERROR(LOOKUP(2,1/(WIPLog!$C$2:$C$1000=$A198),WIPLog!$F$2:$F$1000),"Not Started")))</f>
        <v/>
      </c>
      <c r="L198" s="5" t="str">
        <f>IF($A198="","",SUMIFS(WIPLog!$H:$H,WIPLog!$C:$C,$A198))</f>
        <v/>
      </c>
      <c r="M198" s="5" t="str">
        <f>IF($A198="","",SUMIFS(WIPLog!$I:$I,WIPLog!$C:$C,$A198))</f>
        <v/>
      </c>
      <c r="N198" s="5" t="str">
        <f>IF($A198="","",SUMIFS(WIPLog!$K:$K,WIPLog!$C:$C,$A198))</f>
        <v/>
      </c>
      <c r="O198" s="5" t="str">
        <f>IF($A198="","",SUMIFS('Delivery Log'!$E:$E,'Delivery Log'!$B:$B,$A198))</f>
        <v/>
      </c>
      <c r="P198" s="5" t="str">
        <f t="shared" si="6"/>
        <v/>
      </c>
      <c r="Q198" t="str">
        <f t="shared" si="7"/>
        <v/>
      </c>
    </row>
    <row r="199" spans="7:17">
      <c r="G199" s="5"/>
      <c r="H199" s="4"/>
      <c r="I199" s="4"/>
      <c r="K199" t="str">
        <f>IF($A199="","",IF($O199&gt;=$G199,"Delivered",IFERROR(LOOKUP(2,1/(WIPLog!$C$2:$C$1000=$A199),WIPLog!$F$2:$F$1000),"Not Started")))</f>
        <v/>
      </c>
      <c r="L199" s="5" t="str">
        <f>IF($A199="","",SUMIFS(WIPLog!$H:$H,WIPLog!$C:$C,$A199))</f>
        <v/>
      </c>
      <c r="M199" s="5" t="str">
        <f>IF($A199="","",SUMIFS(WIPLog!$I:$I,WIPLog!$C:$C,$A199))</f>
        <v/>
      </c>
      <c r="N199" s="5" t="str">
        <f>IF($A199="","",SUMIFS(WIPLog!$K:$K,WIPLog!$C:$C,$A199))</f>
        <v/>
      </c>
      <c r="O199" s="5" t="str">
        <f>IF($A199="","",SUMIFS('Delivery Log'!$E:$E,'Delivery Log'!$B:$B,$A199))</f>
        <v/>
      </c>
      <c r="P199" s="5" t="str">
        <f t="shared" si="6"/>
        <v/>
      </c>
      <c r="Q199" t="str">
        <f t="shared" si="7"/>
        <v/>
      </c>
    </row>
    <row r="200" spans="7:17">
      <c r="G200" s="5"/>
      <c r="H200" s="4"/>
      <c r="I200" s="4"/>
      <c r="K200" t="str">
        <f>IF($A200="","",IF($O200&gt;=$G200,"Delivered",IFERROR(LOOKUP(2,1/(WIPLog!$C$2:$C$1000=$A200),WIPLog!$F$2:$F$1000),"Not Started")))</f>
        <v/>
      </c>
      <c r="L200" s="5" t="str">
        <f>IF($A200="","",SUMIFS(WIPLog!$H:$H,WIPLog!$C:$C,$A200))</f>
        <v/>
      </c>
      <c r="M200" s="5" t="str">
        <f>IF($A200="","",SUMIFS(WIPLog!$I:$I,WIPLog!$C:$C,$A200))</f>
        <v/>
      </c>
      <c r="N200" s="5" t="str">
        <f>IF($A200="","",SUMIFS(WIPLog!$K:$K,WIPLog!$C:$C,$A200))</f>
        <v/>
      </c>
      <c r="O200" s="5" t="str">
        <f>IF($A200="","",SUMIFS('Delivery Log'!$E:$E,'Delivery Log'!$B:$B,$A200))</f>
        <v/>
      </c>
      <c r="P200" s="5" t="str">
        <f t="shared" si="6"/>
        <v/>
      </c>
      <c r="Q200" t="str">
        <f t="shared" si="7"/>
        <v/>
      </c>
    </row>
    <row r="201" spans="7:17">
      <c r="G201" s="5"/>
      <c r="H201" s="4"/>
      <c r="I201" s="4"/>
      <c r="K201" t="str">
        <f>IF($A201="","",IF($O201&gt;=$G201,"Delivered",IFERROR(LOOKUP(2,1/(WIPLog!$C$2:$C$1000=$A201),WIPLog!$F$2:$F$1000),"Not Started")))</f>
        <v/>
      </c>
      <c r="L201" s="5" t="str">
        <f>IF($A201="","",SUMIFS(WIPLog!$H:$H,WIPLog!$C:$C,$A201))</f>
        <v/>
      </c>
      <c r="M201" s="5" t="str">
        <f>IF($A201="","",SUMIFS(WIPLog!$I:$I,WIPLog!$C:$C,$A201))</f>
        <v/>
      </c>
      <c r="N201" s="5" t="str">
        <f>IF($A201="","",SUMIFS(WIPLog!$K:$K,WIPLog!$C:$C,$A201))</f>
        <v/>
      </c>
      <c r="O201" s="5" t="str">
        <f>IF($A201="","",SUMIFS('Delivery Log'!$E:$E,'Delivery Log'!$B:$B,$A201))</f>
        <v/>
      </c>
      <c r="P201" s="5" t="str">
        <f t="shared" si="6"/>
        <v/>
      </c>
      <c r="Q201" t="str">
        <f t="shared" si="7"/>
        <v/>
      </c>
    </row>
    <row r="202" spans="7:17">
      <c r="G202" s="5"/>
      <c r="H202" s="4"/>
      <c r="I202" s="4"/>
      <c r="K202" t="str">
        <f>IF($A202="","",IF($O202&gt;=$G202,"Delivered",IFERROR(LOOKUP(2,1/(WIPLog!$C$2:$C$1000=$A202),WIPLog!$F$2:$F$1000),"Not Started")))</f>
        <v/>
      </c>
      <c r="L202" s="5" t="str">
        <f>IF($A202="","",SUMIFS(WIPLog!$H:$H,WIPLog!$C:$C,$A202))</f>
        <v/>
      </c>
      <c r="M202" s="5" t="str">
        <f>IF($A202="","",SUMIFS(WIPLog!$I:$I,WIPLog!$C:$C,$A202))</f>
        <v/>
      </c>
      <c r="N202" s="5" t="str">
        <f>IF($A202="","",SUMIFS(WIPLog!$K:$K,WIPLog!$C:$C,$A202))</f>
        <v/>
      </c>
      <c r="O202" s="5" t="str">
        <f>IF($A202="","",SUMIFS('Delivery Log'!$E:$E,'Delivery Log'!$B:$B,$A202))</f>
        <v/>
      </c>
      <c r="P202" s="5" t="str">
        <f t="shared" si="6"/>
        <v/>
      </c>
      <c r="Q202" t="str">
        <f t="shared" si="7"/>
        <v/>
      </c>
    </row>
    <row r="203" spans="7:17">
      <c r="G203" s="5"/>
      <c r="H203" s="4"/>
      <c r="I203" s="4"/>
      <c r="K203" t="str">
        <f>IF($A203="","",IF($O203&gt;=$G203,"Delivered",IFERROR(LOOKUP(2,1/(WIPLog!$C$2:$C$1000=$A203),WIPLog!$F$2:$F$1000),"Not Started")))</f>
        <v/>
      </c>
      <c r="L203" s="5" t="str">
        <f>IF($A203="","",SUMIFS(WIPLog!$H:$H,WIPLog!$C:$C,$A203))</f>
        <v/>
      </c>
      <c r="M203" s="5" t="str">
        <f>IF($A203="","",SUMIFS(WIPLog!$I:$I,WIPLog!$C:$C,$A203))</f>
        <v/>
      </c>
      <c r="N203" s="5" t="str">
        <f>IF($A203="","",SUMIFS(WIPLog!$K:$K,WIPLog!$C:$C,$A203))</f>
        <v/>
      </c>
      <c r="O203" s="5" t="str">
        <f>IF($A203="","",SUMIFS('Delivery Log'!$E:$E,'Delivery Log'!$B:$B,$A203))</f>
        <v/>
      </c>
      <c r="P203" s="5" t="str">
        <f t="shared" si="6"/>
        <v/>
      </c>
      <c r="Q203" t="str">
        <f t="shared" si="7"/>
        <v/>
      </c>
    </row>
    <row r="204" spans="7:17">
      <c r="G204" s="5"/>
      <c r="H204" s="4"/>
      <c r="I204" s="4"/>
      <c r="K204" t="str">
        <f>IF($A204="","",IF($O204&gt;=$G204,"Delivered",IFERROR(LOOKUP(2,1/(WIPLog!$C$2:$C$1000=$A204),WIPLog!$F$2:$F$1000),"Not Started")))</f>
        <v/>
      </c>
      <c r="L204" s="5" t="str">
        <f>IF($A204="","",SUMIFS(WIPLog!$H:$H,WIPLog!$C:$C,$A204))</f>
        <v/>
      </c>
      <c r="M204" s="5" t="str">
        <f>IF($A204="","",SUMIFS(WIPLog!$I:$I,WIPLog!$C:$C,$A204))</f>
        <v/>
      </c>
      <c r="N204" s="5" t="str">
        <f>IF($A204="","",SUMIFS(WIPLog!$K:$K,WIPLog!$C:$C,$A204))</f>
        <v/>
      </c>
      <c r="O204" s="5" t="str">
        <f>IF($A204="","",SUMIFS('Delivery Log'!$E:$E,'Delivery Log'!$B:$B,$A204))</f>
        <v/>
      </c>
      <c r="P204" s="5" t="str">
        <f t="shared" si="6"/>
        <v/>
      </c>
      <c r="Q204" t="str">
        <f t="shared" si="7"/>
        <v/>
      </c>
    </row>
    <row r="205" spans="7:17">
      <c r="G205" s="5"/>
      <c r="H205" s="4"/>
      <c r="I205" s="4"/>
      <c r="K205" t="str">
        <f>IF($A205="","",IF($O205&gt;=$G205,"Delivered",IFERROR(LOOKUP(2,1/(WIPLog!$C$2:$C$1000=$A205),WIPLog!$F$2:$F$1000),"Not Started")))</f>
        <v/>
      </c>
      <c r="L205" s="5" t="str">
        <f>IF($A205="","",SUMIFS(WIPLog!$H:$H,WIPLog!$C:$C,$A205))</f>
        <v/>
      </c>
      <c r="M205" s="5" t="str">
        <f>IF($A205="","",SUMIFS(WIPLog!$I:$I,WIPLog!$C:$C,$A205))</f>
        <v/>
      </c>
      <c r="N205" s="5" t="str">
        <f>IF($A205="","",SUMIFS(WIPLog!$K:$K,WIPLog!$C:$C,$A205))</f>
        <v/>
      </c>
      <c r="O205" s="5" t="str">
        <f>IF($A205="","",SUMIFS('Delivery Log'!$E:$E,'Delivery Log'!$B:$B,$A205))</f>
        <v/>
      </c>
      <c r="P205" s="5" t="str">
        <f t="shared" si="6"/>
        <v/>
      </c>
      <c r="Q205" t="str">
        <f t="shared" si="7"/>
        <v/>
      </c>
    </row>
    <row r="206" spans="7:17">
      <c r="G206" s="5"/>
      <c r="H206" s="4"/>
      <c r="I206" s="4"/>
      <c r="K206" t="str">
        <f>IF($A206="","",IF($O206&gt;=$G206,"Delivered",IFERROR(LOOKUP(2,1/(WIPLog!$C$2:$C$1000=$A206),WIPLog!$F$2:$F$1000),"Not Started")))</f>
        <v/>
      </c>
      <c r="L206" s="5" t="str">
        <f>IF($A206="","",SUMIFS(WIPLog!$H:$H,WIPLog!$C:$C,$A206))</f>
        <v/>
      </c>
      <c r="M206" s="5" t="str">
        <f>IF($A206="","",SUMIFS(WIPLog!$I:$I,WIPLog!$C:$C,$A206))</f>
        <v/>
      </c>
      <c r="N206" s="5" t="str">
        <f>IF($A206="","",SUMIFS(WIPLog!$K:$K,WIPLog!$C:$C,$A206))</f>
        <v/>
      </c>
      <c r="O206" s="5" t="str">
        <f>IF($A206="","",SUMIFS('Delivery Log'!$E:$E,'Delivery Log'!$B:$B,$A206))</f>
        <v/>
      </c>
      <c r="P206" s="5" t="str">
        <f t="shared" si="6"/>
        <v/>
      </c>
      <c r="Q206" t="str">
        <f t="shared" si="7"/>
        <v/>
      </c>
    </row>
    <row r="207" spans="7:17">
      <c r="G207" s="5"/>
      <c r="H207" s="4"/>
      <c r="I207" s="4"/>
      <c r="K207" t="str">
        <f>IF($A207="","",IF($O207&gt;=$G207,"Delivered",IFERROR(LOOKUP(2,1/(WIPLog!$C$2:$C$1000=$A207),WIPLog!$F$2:$F$1000),"Not Started")))</f>
        <v/>
      </c>
      <c r="L207" s="5" t="str">
        <f>IF($A207="","",SUMIFS(WIPLog!$H:$H,WIPLog!$C:$C,$A207))</f>
        <v/>
      </c>
      <c r="M207" s="5" t="str">
        <f>IF($A207="","",SUMIFS(WIPLog!$I:$I,WIPLog!$C:$C,$A207))</f>
        <v/>
      </c>
      <c r="N207" s="5" t="str">
        <f>IF($A207="","",SUMIFS(WIPLog!$K:$K,WIPLog!$C:$C,$A207))</f>
        <v/>
      </c>
      <c r="O207" s="5" t="str">
        <f>IF($A207="","",SUMIFS('Delivery Log'!$E:$E,'Delivery Log'!$B:$B,$A207))</f>
        <v/>
      </c>
      <c r="P207" s="5" t="str">
        <f t="shared" si="6"/>
        <v/>
      </c>
      <c r="Q207" t="str">
        <f t="shared" si="7"/>
        <v/>
      </c>
    </row>
    <row r="208" spans="7:17">
      <c r="G208" s="5"/>
      <c r="H208" s="4"/>
      <c r="I208" s="4"/>
      <c r="K208" t="str">
        <f>IF($A208="","",IF($O208&gt;=$G208,"Delivered",IFERROR(LOOKUP(2,1/(WIPLog!$C$2:$C$1000=$A208),WIPLog!$F$2:$F$1000),"Not Started")))</f>
        <v/>
      </c>
      <c r="L208" s="5" t="str">
        <f>IF($A208="","",SUMIFS(WIPLog!$H:$H,WIPLog!$C:$C,$A208))</f>
        <v/>
      </c>
      <c r="M208" s="5" t="str">
        <f>IF($A208="","",SUMIFS(WIPLog!$I:$I,WIPLog!$C:$C,$A208))</f>
        <v/>
      </c>
      <c r="N208" s="5" t="str">
        <f>IF($A208="","",SUMIFS(WIPLog!$K:$K,WIPLog!$C:$C,$A208))</f>
        <v/>
      </c>
      <c r="O208" s="5" t="str">
        <f>IF($A208="","",SUMIFS('Delivery Log'!$E:$E,'Delivery Log'!$B:$B,$A208))</f>
        <v/>
      </c>
      <c r="P208" s="5" t="str">
        <f t="shared" si="6"/>
        <v/>
      </c>
      <c r="Q208" t="str">
        <f t="shared" si="7"/>
        <v/>
      </c>
    </row>
    <row r="209" spans="7:17">
      <c r="G209" s="5"/>
      <c r="H209" s="4"/>
      <c r="I209" s="4"/>
      <c r="K209" t="str">
        <f>IF($A209="","",IF($O209&gt;=$G209,"Delivered",IFERROR(LOOKUP(2,1/(WIPLog!$C$2:$C$1000=$A209),WIPLog!$F$2:$F$1000),"Not Started")))</f>
        <v/>
      </c>
      <c r="L209" s="5" t="str">
        <f>IF($A209="","",SUMIFS(WIPLog!$H:$H,WIPLog!$C:$C,$A209))</f>
        <v/>
      </c>
      <c r="M209" s="5" t="str">
        <f>IF($A209="","",SUMIFS(WIPLog!$I:$I,WIPLog!$C:$C,$A209))</f>
        <v/>
      </c>
      <c r="N209" s="5" t="str">
        <f>IF($A209="","",SUMIFS(WIPLog!$K:$K,WIPLog!$C:$C,$A209))</f>
        <v/>
      </c>
      <c r="O209" s="5" t="str">
        <f>IF($A209="","",SUMIFS('Delivery Log'!$E:$E,'Delivery Log'!$B:$B,$A209))</f>
        <v/>
      </c>
      <c r="P209" s="5" t="str">
        <f t="shared" si="6"/>
        <v/>
      </c>
      <c r="Q209" t="str">
        <f t="shared" si="7"/>
        <v/>
      </c>
    </row>
    <row r="210" spans="7:17">
      <c r="G210" s="5"/>
      <c r="H210" s="4"/>
      <c r="I210" s="4"/>
      <c r="K210" t="str">
        <f>IF($A210="","",IF($O210&gt;=$G210,"Delivered",IFERROR(LOOKUP(2,1/(WIPLog!$C$2:$C$1000=$A210),WIPLog!$F$2:$F$1000),"Not Started")))</f>
        <v/>
      </c>
      <c r="L210" s="5" t="str">
        <f>IF($A210="","",SUMIFS(WIPLog!$H:$H,WIPLog!$C:$C,$A210))</f>
        <v/>
      </c>
      <c r="M210" s="5" t="str">
        <f>IF($A210="","",SUMIFS(WIPLog!$I:$I,WIPLog!$C:$C,$A210))</f>
        <v/>
      </c>
      <c r="N210" s="5" t="str">
        <f>IF($A210="","",SUMIFS(WIPLog!$K:$K,WIPLog!$C:$C,$A210))</f>
        <v/>
      </c>
      <c r="O210" s="5" t="str">
        <f>IF($A210="","",SUMIFS('Delivery Log'!$E:$E,'Delivery Log'!$B:$B,$A210))</f>
        <v/>
      </c>
      <c r="P210" s="5" t="str">
        <f t="shared" si="6"/>
        <v/>
      </c>
      <c r="Q210" t="str">
        <f t="shared" si="7"/>
        <v/>
      </c>
    </row>
    <row r="211" spans="7:17">
      <c r="G211" s="5"/>
      <c r="H211" s="4"/>
      <c r="I211" s="4"/>
      <c r="K211" t="str">
        <f>IF($A211="","",IF($O211&gt;=$G211,"Delivered",IFERROR(LOOKUP(2,1/(WIPLog!$C$2:$C$1000=$A211),WIPLog!$F$2:$F$1000),"Not Started")))</f>
        <v/>
      </c>
      <c r="L211" s="5" t="str">
        <f>IF($A211="","",SUMIFS(WIPLog!$H:$H,WIPLog!$C:$C,$A211))</f>
        <v/>
      </c>
      <c r="M211" s="5" t="str">
        <f>IF($A211="","",SUMIFS(WIPLog!$I:$I,WIPLog!$C:$C,$A211))</f>
        <v/>
      </c>
      <c r="N211" s="5" t="str">
        <f>IF($A211="","",SUMIFS(WIPLog!$K:$K,WIPLog!$C:$C,$A211))</f>
        <v/>
      </c>
      <c r="O211" s="5" t="str">
        <f>IF($A211="","",SUMIFS('Delivery Log'!$E:$E,'Delivery Log'!$B:$B,$A211))</f>
        <v/>
      </c>
      <c r="P211" s="5" t="str">
        <f t="shared" si="6"/>
        <v/>
      </c>
      <c r="Q211" t="str">
        <f t="shared" si="7"/>
        <v/>
      </c>
    </row>
    <row r="212" spans="7:17">
      <c r="G212" s="5"/>
      <c r="H212" s="4"/>
      <c r="I212" s="4"/>
      <c r="K212" t="str">
        <f>IF($A212="","",IF($O212&gt;=$G212,"Delivered",IFERROR(LOOKUP(2,1/(WIPLog!$C$2:$C$1000=$A212),WIPLog!$F$2:$F$1000),"Not Started")))</f>
        <v/>
      </c>
      <c r="L212" s="5" t="str">
        <f>IF($A212="","",SUMIFS(WIPLog!$H:$H,WIPLog!$C:$C,$A212))</f>
        <v/>
      </c>
      <c r="M212" s="5" t="str">
        <f>IF($A212="","",SUMIFS(WIPLog!$I:$I,WIPLog!$C:$C,$A212))</f>
        <v/>
      </c>
      <c r="N212" s="5" t="str">
        <f>IF($A212="","",SUMIFS(WIPLog!$K:$K,WIPLog!$C:$C,$A212))</f>
        <v/>
      </c>
      <c r="O212" s="5" t="str">
        <f>IF($A212="","",SUMIFS('Delivery Log'!$E:$E,'Delivery Log'!$B:$B,$A212))</f>
        <v/>
      </c>
      <c r="P212" s="5" t="str">
        <f t="shared" si="6"/>
        <v/>
      </c>
      <c r="Q212" t="str">
        <f t="shared" si="7"/>
        <v/>
      </c>
    </row>
    <row r="213" spans="7:17">
      <c r="G213" s="5"/>
      <c r="H213" s="4"/>
      <c r="I213" s="4"/>
      <c r="K213" t="str">
        <f>IF($A213="","",IF($O213&gt;=$G213,"Delivered",IFERROR(LOOKUP(2,1/(WIPLog!$C$2:$C$1000=$A213),WIPLog!$F$2:$F$1000),"Not Started")))</f>
        <v/>
      </c>
      <c r="L213" s="5" t="str">
        <f>IF($A213="","",SUMIFS(WIPLog!$H:$H,WIPLog!$C:$C,$A213))</f>
        <v/>
      </c>
      <c r="M213" s="5" t="str">
        <f>IF($A213="","",SUMIFS(WIPLog!$I:$I,WIPLog!$C:$C,$A213))</f>
        <v/>
      </c>
      <c r="N213" s="5" t="str">
        <f>IF($A213="","",SUMIFS(WIPLog!$K:$K,WIPLog!$C:$C,$A213))</f>
        <v/>
      </c>
      <c r="O213" s="5" t="str">
        <f>IF($A213="","",SUMIFS('Delivery Log'!$E:$E,'Delivery Log'!$B:$B,$A213))</f>
        <v/>
      </c>
      <c r="P213" s="5" t="str">
        <f t="shared" si="6"/>
        <v/>
      </c>
      <c r="Q213" t="str">
        <f t="shared" si="7"/>
        <v/>
      </c>
    </row>
    <row r="214" spans="7:17">
      <c r="G214" s="5"/>
      <c r="H214" s="4"/>
      <c r="I214" s="4"/>
      <c r="K214" t="str">
        <f>IF($A214="","",IF($O214&gt;=$G214,"Delivered",IFERROR(LOOKUP(2,1/(WIPLog!$C$2:$C$1000=$A214),WIPLog!$F$2:$F$1000),"Not Started")))</f>
        <v/>
      </c>
      <c r="L214" s="5" t="str">
        <f>IF($A214="","",SUMIFS(WIPLog!$H:$H,WIPLog!$C:$C,$A214))</f>
        <v/>
      </c>
      <c r="M214" s="5" t="str">
        <f>IF($A214="","",SUMIFS(WIPLog!$I:$I,WIPLog!$C:$C,$A214))</f>
        <v/>
      </c>
      <c r="N214" s="5" t="str">
        <f>IF($A214="","",SUMIFS(WIPLog!$K:$K,WIPLog!$C:$C,$A214))</f>
        <v/>
      </c>
      <c r="O214" s="5" t="str">
        <f>IF($A214="","",SUMIFS('Delivery Log'!$E:$E,'Delivery Log'!$B:$B,$A214))</f>
        <v/>
      </c>
      <c r="P214" s="5" t="str">
        <f t="shared" si="6"/>
        <v/>
      </c>
      <c r="Q214" t="str">
        <f t="shared" si="7"/>
        <v/>
      </c>
    </row>
    <row r="215" spans="7:17">
      <c r="G215" s="5"/>
      <c r="H215" s="4"/>
      <c r="I215" s="4"/>
      <c r="K215" t="str">
        <f>IF($A215="","",IF($O215&gt;=$G215,"Delivered",IFERROR(LOOKUP(2,1/(WIPLog!$C$2:$C$1000=$A215),WIPLog!$F$2:$F$1000),"Not Started")))</f>
        <v/>
      </c>
      <c r="L215" s="5" t="str">
        <f>IF($A215="","",SUMIFS(WIPLog!$H:$H,WIPLog!$C:$C,$A215))</f>
        <v/>
      </c>
      <c r="M215" s="5" t="str">
        <f>IF($A215="","",SUMIFS(WIPLog!$I:$I,WIPLog!$C:$C,$A215))</f>
        <v/>
      </c>
      <c r="N215" s="5" t="str">
        <f>IF($A215="","",SUMIFS(WIPLog!$K:$K,WIPLog!$C:$C,$A215))</f>
        <v/>
      </c>
      <c r="O215" s="5" t="str">
        <f>IF($A215="","",SUMIFS('Delivery Log'!$E:$E,'Delivery Log'!$B:$B,$A215))</f>
        <v/>
      </c>
      <c r="P215" s="5" t="str">
        <f t="shared" si="6"/>
        <v/>
      </c>
      <c r="Q215" t="str">
        <f t="shared" si="7"/>
        <v/>
      </c>
    </row>
    <row r="216" spans="7:17">
      <c r="G216" s="5"/>
      <c r="H216" s="4"/>
      <c r="I216" s="4"/>
      <c r="K216" t="str">
        <f>IF($A216="","",IF($O216&gt;=$G216,"Delivered",IFERROR(LOOKUP(2,1/(WIPLog!$C$2:$C$1000=$A216),WIPLog!$F$2:$F$1000),"Not Started")))</f>
        <v/>
      </c>
      <c r="L216" s="5" t="str">
        <f>IF($A216="","",SUMIFS(WIPLog!$H:$H,WIPLog!$C:$C,$A216))</f>
        <v/>
      </c>
      <c r="M216" s="5" t="str">
        <f>IF($A216="","",SUMIFS(WIPLog!$I:$I,WIPLog!$C:$C,$A216))</f>
        <v/>
      </c>
      <c r="N216" s="5" t="str">
        <f>IF($A216="","",SUMIFS(WIPLog!$K:$K,WIPLog!$C:$C,$A216))</f>
        <v/>
      </c>
      <c r="O216" s="5" t="str">
        <f>IF($A216="","",SUMIFS('Delivery Log'!$E:$E,'Delivery Log'!$B:$B,$A216))</f>
        <v/>
      </c>
      <c r="P216" s="5" t="str">
        <f t="shared" si="6"/>
        <v/>
      </c>
      <c r="Q216" t="str">
        <f t="shared" si="7"/>
        <v/>
      </c>
    </row>
    <row r="217" spans="7:17">
      <c r="G217" s="5"/>
      <c r="H217" s="4"/>
      <c r="I217" s="4"/>
      <c r="K217" t="str">
        <f>IF($A217="","",IF($O217&gt;=$G217,"Delivered",IFERROR(LOOKUP(2,1/(WIPLog!$C$2:$C$1000=$A217),WIPLog!$F$2:$F$1000),"Not Started")))</f>
        <v/>
      </c>
      <c r="L217" s="5" t="str">
        <f>IF($A217="","",SUMIFS(WIPLog!$H:$H,WIPLog!$C:$C,$A217))</f>
        <v/>
      </c>
      <c r="M217" s="5" t="str">
        <f>IF($A217="","",SUMIFS(WIPLog!$I:$I,WIPLog!$C:$C,$A217))</f>
        <v/>
      </c>
      <c r="N217" s="5" t="str">
        <f>IF($A217="","",SUMIFS(WIPLog!$K:$K,WIPLog!$C:$C,$A217))</f>
        <v/>
      </c>
      <c r="O217" s="5" t="str">
        <f>IF($A217="","",SUMIFS('Delivery Log'!$E:$E,'Delivery Log'!$B:$B,$A217))</f>
        <v/>
      </c>
      <c r="P217" s="5" t="str">
        <f t="shared" si="6"/>
        <v/>
      </c>
      <c r="Q217" t="str">
        <f t="shared" si="7"/>
        <v/>
      </c>
    </row>
    <row r="218" spans="7:17">
      <c r="G218" s="5"/>
      <c r="H218" s="4"/>
      <c r="I218" s="4"/>
      <c r="K218" t="str">
        <f>IF($A218="","",IF($O218&gt;=$G218,"Delivered",IFERROR(LOOKUP(2,1/(WIPLog!$C$2:$C$1000=$A218),WIPLog!$F$2:$F$1000),"Not Started")))</f>
        <v/>
      </c>
      <c r="L218" s="5" t="str">
        <f>IF($A218="","",SUMIFS(WIPLog!$H:$H,WIPLog!$C:$C,$A218))</f>
        <v/>
      </c>
      <c r="M218" s="5" t="str">
        <f>IF($A218="","",SUMIFS(WIPLog!$I:$I,WIPLog!$C:$C,$A218))</f>
        <v/>
      </c>
      <c r="N218" s="5" t="str">
        <f>IF($A218="","",SUMIFS(WIPLog!$K:$K,WIPLog!$C:$C,$A218))</f>
        <v/>
      </c>
      <c r="O218" s="5" t="str">
        <f>IF($A218="","",SUMIFS('Delivery Log'!$E:$E,'Delivery Log'!$B:$B,$A218))</f>
        <v/>
      </c>
      <c r="P218" s="5" t="str">
        <f t="shared" si="6"/>
        <v/>
      </c>
      <c r="Q218" t="str">
        <f t="shared" si="7"/>
        <v/>
      </c>
    </row>
    <row r="219" spans="7:17">
      <c r="G219" s="5"/>
      <c r="H219" s="4"/>
      <c r="I219" s="4"/>
      <c r="K219" t="str">
        <f>IF($A219="","",IF($O219&gt;=$G219,"Delivered",IFERROR(LOOKUP(2,1/(WIPLog!$C$2:$C$1000=$A219),WIPLog!$F$2:$F$1000),"Not Started")))</f>
        <v/>
      </c>
      <c r="L219" s="5" t="str">
        <f>IF($A219="","",SUMIFS(WIPLog!$H:$H,WIPLog!$C:$C,$A219))</f>
        <v/>
      </c>
      <c r="M219" s="5" t="str">
        <f>IF($A219="","",SUMIFS(WIPLog!$I:$I,WIPLog!$C:$C,$A219))</f>
        <v/>
      </c>
      <c r="N219" s="5" t="str">
        <f>IF($A219="","",SUMIFS(WIPLog!$K:$K,WIPLog!$C:$C,$A219))</f>
        <v/>
      </c>
      <c r="O219" s="5" t="str">
        <f>IF($A219="","",SUMIFS('Delivery Log'!$E:$E,'Delivery Log'!$B:$B,$A219))</f>
        <v/>
      </c>
      <c r="P219" s="5" t="str">
        <f t="shared" si="6"/>
        <v/>
      </c>
      <c r="Q219" t="str">
        <f t="shared" si="7"/>
        <v/>
      </c>
    </row>
    <row r="220" spans="7:17">
      <c r="G220" s="5"/>
      <c r="H220" s="4"/>
      <c r="I220" s="4"/>
      <c r="K220" t="str">
        <f>IF($A220="","",IF($O220&gt;=$G220,"Delivered",IFERROR(LOOKUP(2,1/(WIPLog!$C$2:$C$1000=$A220),WIPLog!$F$2:$F$1000),"Not Started")))</f>
        <v/>
      </c>
      <c r="L220" s="5" t="str">
        <f>IF($A220="","",SUMIFS(WIPLog!$H:$H,WIPLog!$C:$C,$A220))</f>
        <v/>
      </c>
      <c r="M220" s="5" t="str">
        <f>IF($A220="","",SUMIFS(WIPLog!$I:$I,WIPLog!$C:$C,$A220))</f>
        <v/>
      </c>
      <c r="N220" s="5" t="str">
        <f>IF($A220="","",SUMIFS(WIPLog!$K:$K,WIPLog!$C:$C,$A220))</f>
        <v/>
      </c>
      <c r="O220" s="5" t="str">
        <f>IF($A220="","",SUMIFS('Delivery Log'!$E:$E,'Delivery Log'!$B:$B,$A220))</f>
        <v/>
      </c>
      <c r="P220" s="5" t="str">
        <f t="shared" si="6"/>
        <v/>
      </c>
      <c r="Q220" t="str">
        <f t="shared" si="7"/>
        <v/>
      </c>
    </row>
    <row r="221" spans="7:17">
      <c r="G221" s="5"/>
      <c r="H221" s="4"/>
      <c r="I221" s="4"/>
      <c r="K221" t="str">
        <f>IF($A221="","",IF($O221&gt;=$G221,"Delivered",IFERROR(LOOKUP(2,1/(WIPLog!$C$2:$C$1000=$A221),WIPLog!$F$2:$F$1000),"Not Started")))</f>
        <v/>
      </c>
      <c r="L221" s="5" t="str">
        <f>IF($A221="","",SUMIFS(WIPLog!$H:$H,WIPLog!$C:$C,$A221))</f>
        <v/>
      </c>
      <c r="M221" s="5" t="str">
        <f>IF($A221="","",SUMIFS(WIPLog!$I:$I,WIPLog!$C:$C,$A221))</f>
        <v/>
      </c>
      <c r="N221" s="5" t="str">
        <f>IF($A221="","",SUMIFS(WIPLog!$K:$K,WIPLog!$C:$C,$A221))</f>
        <v/>
      </c>
      <c r="O221" s="5" t="str">
        <f>IF($A221="","",SUMIFS('Delivery Log'!$E:$E,'Delivery Log'!$B:$B,$A221))</f>
        <v/>
      </c>
      <c r="P221" s="5" t="str">
        <f t="shared" si="6"/>
        <v/>
      </c>
      <c r="Q221" t="str">
        <f t="shared" si="7"/>
        <v/>
      </c>
    </row>
    <row r="222" spans="7:17">
      <c r="G222" s="5"/>
      <c r="H222" s="4"/>
      <c r="I222" s="4"/>
      <c r="K222" t="str">
        <f>IF($A222="","",IF($O222&gt;=$G222,"Delivered",IFERROR(LOOKUP(2,1/(WIPLog!$C$2:$C$1000=$A222),WIPLog!$F$2:$F$1000),"Not Started")))</f>
        <v/>
      </c>
      <c r="L222" s="5" t="str">
        <f>IF($A222="","",SUMIFS(WIPLog!$H:$H,WIPLog!$C:$C,$A222))</f>
        <v/>
      </c>
      <c r="M222" s="5" t="str">
        <f>IF($A222="","",SUMIFS(WIPLog!$I:$I,WIPLog!$C:$C,$A222))</f>
        <v/>
      </c>
      <c r="N222" s="5" t="str">
        <f>IF($A222="","",SUMIFS(WIPLog!$K:$K,WIPLog!$C:$C,$A222))</f>
        <v/>
      </c>
      <c r="O222" s="5" t="str">
        <f>IF($A222="","",SUMIFS('Delivery Log'!$E:$E,'Delivery Log'!$B:$B,$A222))</f>
        <v/>
      </c>
      <c r="P222" s="5" t="str">
        <f t="shared" si="6"/>
        <v/>
      </c>
      <c r="Q222" t="str">
        <f t="shared" si="7"/>
        <v/>
      </c>
    </row>
    <row r="223" spans="7:17">
      <c r="G223" s="5"/>
      <c r="H223" s="4"/>
      <c r="I223" s="4"/>
      <c r="K223" t="str">
        <f>IF($A223="","",IF($O223&gt;=$G223,"Delivered",IFERROR(LOOKUP(2,1/(WIPLog!$C$2:$C$1000=$A223),WIPLog!$F$2:$F$1000),"Not Started")))</f>
        <v/>
      </c>
      <c r="L223" s="5" t="str">
        <f>IF($A223="","",SUMIFS(WIPLog!$H:$H,WIPLog!$C:$C,$A223))</f>
        <v/>
      </c>
      <c r="M223" s="5" t="str">
        <f>IF($A223="","",SUMIFS(WIPLog!$I:$I,WIPLog!$C:$C,$A223))</f>
        <v/>
      </c>
      <c r="N223" s="5" t="str">
        <f>IF($A223="","",SUMIFS(WIPLog!$K:$K,WIPLog!$C:$C,$A223))</f>
        <v/>
      </c>
      <c r="O223" s="5" t="str">
        <f>IF($A223="","",SUMIFS('Delivery Log'!$E:$E,'Delivery Log'!$B:$B,$A223))</f>
        <v/>
      </c>
      <c r="P223" s="5" t="str">
        <f t="shared" si="6"/>
        <v/>
      </c>
      <c r="Q223" t="str">
        <f t="shared" si="7"/>
        <v/>
      </c>
    </row>
    <row r="224" spans="7:17">
      <c r="G224" s="5"/>
      <c r="H224" s="4"/>
      <c r="I224" s="4"/>
      <c r="K224" t="str">
        <f>IF($A224="","",IF($O224&gt;=$G224,"Delivered",IFERROR(LOOKUP(2,1/(WIPLog!$C$2:$C$1000=$A224),WIPLog!$F$2:$F$1000),"Not Started")))</f>
        <v/>
      </c>
      <c r="L224" s="5" t="str">
        <f>IF($A224="","",SUMIFS(WIPLog!$H:$H,WIPLog!$C:$C,$A224))</f>
        <v/>
      </c>
      <c r="M224" s="5" t="str">
        <f>IF($A224="","",SUMIFS(WIPLog!$I:$I,WIPLog!$C:$C,$A224))</f>
        <v/>
      </c>
      <c r="N224" s="5" t="str">
        <f>IF($A224="","",SUMIFS(WIPLog!$K:$K,WIPLog!$C:$C,$A224))</f>
        <v/>
      </c>
      <c r="O224" s="5" t="str">
        <f>IF($A224="","",SUMIFS('Delivery Log'!$E:$E,'Delivery Log'!$B:$B,$A224))</f>
        <v/>
      </c>
      <c r="P224" s="5" t="str">
        <f t="shared" si="6"/>
        <v/>
      </c>
      <c r="Q224" t="str">
        <f t="shared" si="7"/>
        <v/>
      </c>
    </row>
    <row r="225" spans="7:17">
      <c r="G225" s="5"/>
      <c r="H225" s="4"/>
      <c r="I225" s="4"/>
      <c r="K225" t="str">
        <f>IF($A225="","",IF($O225&gt;=$G225,"Delivered",IFERROR(LOOKUP(2,1/(WIPLog!$C$2:$C$1000=$A225),WIPLog!$F$2:$F$1000),"Not Started")))</f>
        <v/>
      </c>
      <c r="L225" s="5" t="str">
        <f>IF($A225="","",SUMIFS(WIPLog!$H:$H,WIPLog!$C:$C,$A225))</f>
        <v/>
      </c>
      <c r="M225" s="5" t="str">
        <f>IF($A225="","",SUMIFS(WIPLog!$I:$I,WIPLog!$C:$C,$A225))</f>
        <v/>
      </c>
      <c r="N225" s="5" t="str">
        <f>IF($A225="","",SUMIFS(WIPLog!$K:$K,WIPLog!$C:$C,$A225))</f>
        <v/>
      </c>
      <c r="O225" s="5" t="str">
        <f>IF($A225="","",SUMIFS('Delivery Log'!$E:$E,'Delivery Log'!$B:$B,$A225))</f>
        <v/>
      </c>
      <c r="P225" s="5" t="str">
        <f t="shared" si="6"/>
        <v/>
      </c>
      <c r="Q225" t="str">
        <f t="shared" si="7"/>
        <v/>
      </c>
    </row>
    <row r="226" spans="7:17">
      <c r="G226" s="5"/>
      <c r="H226" s="4"/>
      <c r="I226" s="4"/>
      <c r="K226" t="str">
        <f>IF($A226="","",IF($O226&gt;=$G226,"Delivered",IFERROR(LOOKUP(2,1/(WIPLog!$C$2:$C$1000=$A226),WIPLog!$F$2:$F$1000),"Not Started")))</f>
        <v/>
      </c>
      <c r="L226" s="5" t="str">
        <f>IF($A226="","",SUMIFS(WIPLog!$H:$H,WIPLog!$C:$C,$A226))</f>
        <v/>
      </c>
      <c r="M226" s="5" t="str">
        <f>IF($A226="","",SUMIFS(WIPLog!$I:$I,WIPLog!$C:$C,$A226))</f>
        <v/>
      </c>
      <c r="N226" s="5" t="str">
        <f>IF($A226="","",SUMIFS(WIPLog!$K:$K,WIPLog!$C:$C,$A226))</f>
        <v/>
      </c>
      <c r="O226" s="5" t="str">
        <f>IF($A226="","",SUMIFS('Delivery Log'!$E:$E,'Delivery Log'!$B:$B,$A226))</f>
        <v/>
      </c>
      <c r="P226" s="5" t="str">
        <f t="shared" si="6"/>
        <v/>
      </c>
      <c r="Q226" t="str">
        <f t="shared" si="7"/>
        <v/>
      </c>
    </row>
    <row r="227" spans="7:17">
      <c r="G227" s="5"/>
      <c r="H227" s="4"/>
      <c r="I227" s="4"/>
      <c r="K227" t="str">
        <f>IF($A227="","",IF($O227&gt;=$G227,"Delivered",IFERROR(LOOKUP(2,1/(WIPLog!$C$2:$C$1000=$A227),WIPLog!$F$2:$F$1000),"Not Started")))</f>
        <v/>
      </c>
      <c r="L227" s="5" t="str">
        <f>IF($A227="","",SUMIFS(WIPLog!$H:$H,WIPLog!$C:$C,$A227))</f>
        <v/>
      </c>
      <c r="M227" s="5" t="str">
        <f>IF($A227="","",SUMIFS(WIPLog!$I:$I,WIPLog!$C:$C,$A227))</f>
        <v/>
      </c>
      <c r="N227" s="5" t="str">
        <f>IF($A227="","",SUMIFS(WIPLog!$K:$K,WIPLog!$C:$C,$A227))</f>
        <v/>
      </c>
      <c r="O227" s="5" t="str">
        <f>IF($A227="","",SUMIFS('Delivery Log'!$E:$E,'Delivery Log'!$B:$B,$A227))</f>
        <v/>
      </c>
      <c r="P227" s="5" t="str">
        <f t="shared" si="6"/>
        <v/>
      </c>
      <c r="Q227" t="str">
        <f t="shared" si="7"/>
        <v/>
      </c>
    </row>
    <row r="228" spans="7:17">
      <c r="G228" s="5"/>
      <c r="H228" s="4"/>
      <c r="I228" s="4"/>
      <c r="K228" t="str">
        <f>IF($A228="","",IF($O228&gt;=$G228,"Delivered",IFERROR(LOOKUP(2,1/(WIPLog!$C$2:$C$1000=$A228),WIPLog!$F$2:$F$1000),"Not Started")))</f>
        <v/>
      </c>
      <c r="L228" s="5" t="str">
        <f>IF($A228="","",SUMIFS(WIPLog!$H:$H,WIPLog!$C:$C,$A228))</f>
        <v/>
      </c>
      <c r="M228" s="5" t="str">
        <f>IF($A228="","",SUMIFS(WIPLog!$I:$I,WIPLog!$C:$C,$A228))</f>
        <v/>
      </c>
      <c r="N228" s="5" t="str">
        <f>IF($A228="","",SUMIFS(WIPLog!$K:$K,WIPLog!$C:$C,$A228))</f>
        <v/>
      </c>
      <c r="O228" s="5" t="str">
        <f>IF($A228="","",SUMIFS('Delivery Log'!$E:$E,'Delivery Log'!$B:$B,$A228))</f>
        <v/>
      </c>
      <c r="P228" s="5" t="str">
        <f t="shared" si="6"/>
        <v/>
      </c>
      <c r="Q228" t="str">
        <f t="shared" si="7"/>
        <v/>
      </c>
    </row>
    <row r="229" spans="7:17">
      <c r="G229" s="5"/>
      <c r="H229" s="4"/>
      <c r="I229" s="4"/>
      <c r="K229" t="str">
        <f>IF($A229="","",IF($O229&gt;=$G229,"Delivered",IFERROR(LOOKUP(2,1/(WIPLog!$C$2:$C$1000=$A229),WIPLog!$F$2:$F$1000),"Not Started")))</f>
        <v/>
      </c>
      <c r="L229" s="5" t="str">
        <f>IF($A229="","",SUMIFS(WIPLog!$H:$H,WIPLog!$C:$C,$A229))</f>
        <v/>
      </c>
      <c r="M229" s="5" t="str">
        <f>IF($A229="","",SUMIFS(WIPLog!$I:$I,WIPLog!$C:$C,$A229))</f>
        <v/>
      </c>
      <c r="N229" s="5" t="str">
        <f>IF($A229="","",SUMIFS(WIPLog!$K:$K,WIPLog!$C:$C,$A229))</f>
        <v/>
      </c>
      <c r="O229" s="5" t="str">
        <f>IF($A229="","",SUMIFS('Delivery Log'!$E:$E,'Delivery Log'!$B:$B,$A229))</f>
        <v/>
      </c>
      <c r="P229" s="5" t="str">
        <f t="shared" si="6"/>
        <v/>
      </c>
      <c r="Q229" t="str">
        <f t="shared" si="7"/>
        <v/>
      </c>
    </row>
    <row r="230" spans="7:17">
      <c r="G230" s="5"/>
      <c r="H230" s="4"/>
      <c r="I230" s="4"/>
      <c r="K230" t="str">
        <f>IF($A230="","",IF($O230&gt;=$G230,"Delivered",IFERROR(LOOKUP(2,1/(WIPLog!$C$2:$C$1000=$A230),WIPLog!$F$2:$F$1000),"Not Started")))</f>
        <v/>
      </c>
      <c r="L230" s="5" t="str">
        <f>IF($A230="","",SUMIFS(WIPLog!$H:$H,WIPLog!$C:$C,$A230))</f>
        <v/>
      </c>
      <c r="M230" s="5" t="str">
        <f>IF($A230="","",SUMIFS(WIPLog!$I:$I,WIPLog!$C:$C,$A230))</f>
        <v/>
      </c>
      <c r="N230" s="5" t="str">
        <f>IF($A230="","",SUMIFS(WIPLog!$K:$K,WIPLog!$C:$C,$A230))</f>
        <v/>
      </c>
      <c r="O230" s="5" t="str">
        <f>IF($A230="","",SUMIFS('Delivery Log'!$E:$E,'Delivery Log'!$B:$B,$A230))</f>
        <v/>
      </c>
      <c r="P230" s="5" t="str">
        <f t="shared" si="6"/>
        <v/>
      </c>
      <c r="Q230" t="str">
        <f t="shared" si="7"/>
        <v/>
      </c>
    </row>
    <row r="231" spans="7:17">
      <c r="G231" s="5"/>
      <c r="H231" s="4"/>
      <c r="I231" s="4"/>
      <c r="K231" t="str">
        <f>IF($A231="","",IF($O231&gt;=$G231,"Delivered",IFERROR(LOOKUP(2,1/(WIPLog!$C$2:$C$1000=$A231),WIPLog!$F$2:$F$1000),"Not Started")))</f>
        <v/>
      </c>
      <c r="L231" s="5" t="str">
        <f>IF($A231="","",SUMIFS(WIPLog!$H:$H,WIPLog!$C:$C,$A231))</f>
        <v/>
      </c>
      <c r="M231" s="5" t="str">
        <f>IF($A231="","",SUMIFS(WIPLog!$I:$I,WIPLog!$C:$C,$A231))</f>
        <v/>
      </c>
      <c r="N231" s="5" t="str">
        <f>IF($A231="","",SUMIFS(WIPLog!$K:$K,WIPLog!$C:$C,$A231))</f>
        <v/>
      </c>
      <c r="O231" s="5" t="str">
        <f>IF($A231="","",SUMIFS('Delivery Log'!$E:$E,'Delivery Log'!$B:$B,$A231))</f>
        <v/>
      </c>
      <c r="P231" s="5" t="str">
        <f t="shared" si="6"/>
        <v/>
      </c>
      <c r="Q231" t="str">
        <f t="shared" si="7"/>
        <v/>
      </c>
    </row>
    <row r="232" spans="7:17">
      <c r="G232" s="5"/>
      <c r="H232" s="4"/>
      <c r="I232" s="4"/>
      <c r="K232" t="str">
        <f>IF($A232="","",IF($O232&gt;=$G232,"Delivered",IFERROR(LOOKUP(2,1/(WIPLog!$C$2:$C$1000=$A232),WIPLog!$F$2:$F$1000),"Not Started")))</f>
        <v/>
      </c>
      <c r="L232" s="5" t="str">
        <f>IF($A232="","",SUMIFS(WIPLog!$H:$H,WIPLog!$C:$C,$A232))</f>
        <v/>
      </c>
      <c r="M232" s="5" t="str">
        <f>IF($A232="","",SUMIFS(WIPLog!$I:$I,WIPLog!$C:$C,$A232))</f>
        <v/>
      </c>
      <c r="N232" s="5" t="str">
        <f>IF($A232="","",SUMIFS(WIPLog!$K:$K,WIPLog!$C:$C,$A232))</f>
        <v/>
      </c>
      <c r="O232" s="5" t="str">
        <f>IF($A232="","",SUMIFS('Delivery Log'!$E:$E,'Delivery Log'!$B:$B,$A232))</f>
        <v/>
      </c>
      <c r="P232" s="5" t="str">
        <f t="shared" si="6"/>
        <v/>
      </c>
      <c r="Q232" t="str">
        <f t="shared" si="7"/>
        <v/>
      </c>
    </row>
    <row r="233" spans="7:17">
      <c r="G233" s="5"/>
      <c r="H233" s="4"/>
      <c r="I233" s="4"/>
      <c r="K233" t="str">
        <f>IF($A233="","",IF($O233&gt;=$G233,"Delivered",IFERROR(LOOKUP(2,1/(WIPLog!$C$2:$C$1000=$A233),WIPLog!$F$2:$F$1000),"Not Started")))</f>
        <v/>
      </c>
      <c r="L233" s="5" t="str">
        <f>IF($A233="","",SUMIFS(WIPLog!$H:$H,WIPLog!$C:$C,$A233))</f>
        <v/>
      </c>
      <c r="M233" s="5" t="str">
        <f>IF($A233="","",SUMIFS(WIPLog!$I:$I,WIPLog!$C:$C,$A233))</f>
        <v/>
      </c>
      <c r="N233" s="5" t="str">
        <f>IF($A233="","",SUMIFS(WIPLog!$K:$K,WIPLog!$C:$C,$A233))</f>
        <v/>
      </c>
      <c r="O233" s="5" t="str">
        <f>IF($A233="","",SUMIFS('Delivery Log'!$E:$E,'Delivery Log'!$B:$B,$A233))</f>
        <v/>
      </c>
      <c r="P233" s="5" t="str">
        <f t="shared" si="6"/>
        <v/>
      </c>
      <c r="Q233" t="str">
        <f t="shared" si="7"/>
        <v/>
      </c>
    </row>
    <row r="234" spans="7:17">
      <c r="G234" s="5"/>
      <c r="H234" s="4"/>
      <c r="I234" s="4"/>
      <c r="K234" t="str">
        <f>IF($A234="","",IF($O234&gt;=$G234,"Delivered",IFERROR(LOOKUP(2,1/(WIPLog!$C$2:$C$1000=$A234),WIPLog!$F$2:$F$1000),"Not Started")))</f>
        <v/>
      </c>
      <c r="L234" s="5" t="str">
        <f>IF($A234="","",SUMIFS(WIPLog!$H:$H,WIPLog!$C:$C,$A234))</f>
        <v/>
      </c>
      <c r="M234" s="5" t="str">
        <f>IF($A234="","",SUMIFS(WIPLog!$I:$I,WIPLog!$C:$C,$A234))</f>
        <v/>
      </c>
      <c r="N234" s="5" t="str">
        <f>IF($A234="","",SUMIFS(WIPLog!$K:$K,WIPLog!$C:$C,$A234))</f>
        <v/>
      </c>
      <c r="O234" s="5" t="str">
        <f>IF($A234="","",SUMIFS('Delivery Log'!$E:$E,'Delivery Log'!$B:$B,$A234))</f>
        <v/>
      </c>
      <c r="P234" s="5" t="str">
        <f t="shared" si="6"/>
        <v/>
      </c>
      <c r="Q234" t="str">
        <f t="shared" si="7"/>
        <v/>
      </c>
    </row>
    <row r="235" spans="7:17">
      <c r="G235" s="5"/>
      <c r="H235" s="4"/>
      <c r="I235" s="4"/>
      <c r="K235" t="str">
        <f>IF($A235="","",IF($O235&gt;=$G235,"Delivered",IFERROR(LOOKUP(2,1/(WIPLog!$C$2:$C$1000=$A235),WIPLog!$F$2:$F$1000),"Not Started")))</f>
        <v/>
      </c>
      <c r="L235" s="5" t="str">
        <f>IF($A235="","",SUMIFS(WIPLog!$H:$H,WIPLog!$C:$C,$A235))</f>
        <v/>
      </c>
      <c r="M235" s="5" t="str">
        <f>IF($A235="","",SUMIFS(WIPLog!$I:$I,WIPLog!$C:$C,$A235))</f>
        <v/>
      </c>
      <c r="N235" s="5" t="str">
        <f>IF($A235="","",SUMIFS(WIPLog!$K:$K,WIPLog!$C:$C,$A235))</f>
        <v/>
      </c>
      <c r="O235" s="5" t="str">
        <f>IF($A235="","",SUMIFS('Delivery Log'!$E:$E,'Delivery Log'!$B:$B,$A235))</f>
        <v/>
      </c>
      <c r="P235" s="5" t="str">
        <f t="shared" si="6"/>
        <v/>
      </c>
      <c r="Q235" t="str">
        <f t="shared" si="7"/>
        <v/>
      </c>
    </row>
    <row r="236" spans="7:17">
      <c r="G236" s="5"/>
      <c r="H236" s="4"/>
      <c r="I236" s="4"/>
      <c r="K236" t="str">
        <f>IF($A236="","",IF($O236&gt;=$G236,"Delivered",IFERROR(LOOKUP(2,1/(WIPLog!$C$2:$C$1000=$A236),WIPLog!$F$2:$F$1000),"Not Started")))</f>
        <v/>
      </c>
      <c r="L236" s="5" t="str">
        <f>IF($A236="","",SUMIFS(WIPLog!$H:$H,WIPLog!$C:$C,$A236))</f>
        <v/>
      </c>
      <c r="M236" s="5" t="str">
        <f>IF($A236="","",SUMIFS(WIPLog!$I:$I,WIPLog!$C:$C,$A236))</f>
        <v/>
      </c>
      <c r="N236" s="5" t="str">
        <f>IF($A236="","",SUMIFS(WIPLog!$K:$K,WIPLog!$C:$C,$A236))</f>
        <v/>
      </c>
      <c r="O236" s="5" t="str">
        <f>IF($A236="","",SUMIFS('Delivery Log'!$E:$E,'Delivery Log'!$B:$B,$A236))</f>
        <v/>
      </c>
      <c r="P236" s="5" t="str">
        <f t="shared" si="6"/>
        <v/>
      </c>
      <c r="Q236" t="str">
        <f t="shared" si="7"/>
        <v/>
      </c>
    </row>
    <row r="237" spans="7:17">
      <c r="G237" s="5"/>
      <c r="H237" s="4"/>
      <c r="I237" s="4"/>
      <c r="K237" t="str">
        <f>IF($A237="","",IF($O237&gt;=$G237,"Delivered",IFERROR(LOOKUP(2,1/(WIPLog!$C$2:$C$1000=$A237),WIPLog!$F$2:$F$1000),"Not Started")))</f>
        <v/>
      </c>
      <c r="L237" s="5" t="str">
        <f>IF($A237="","",SUMIFS(WIPLog!$H:$H,WIPLog!$C:$C,$A237))</f>
        <v/>
      </c>
      <c r="M237" s="5" t="str">
        <f>IF($A237="","",SUMIFS(WIPLog!$I:$I,WIPLog!$C:$C,$A237))</f>
        <v/>
      </c>
      <c r="N237" s="5" t="str">
        <f>IF($A237="","",SUMIFS(WIPLog!$K:$K,WIPLog!$C:$C,$A237))</f>
        <v/>
      </c>
      <c r="O237" s="5" t="str">
        <f>IF($A237="","",SUMIFS('Delivery Log'!$E:$E,'Delivery Log'!$B:$B,$A237))</f>
        <v/>
      </c>
      <c r="P237" s="5" t="str">
        <f t="shared" si="6"/>
        <v/>
      </c>
      <c r="Q237" t="str">
        <f t="shared" si="7"/>
        <v/>
      </c>
    </row>
    <row r="238" spans="7:17">
      <c r="G238" s="5"/>
      <c r="H238" s="4"/>
      <c r="I238" s="4"/>
      <c r="K238" t="str">
        <f>IF($A238="","",IF($O238&gt;=$G238,"Delivered",IFERROR(LOOKUP(2,1/(WIPLog!$C$2:$C$1000=$A238),WIPLog!$F$2:$F$1000),"Not Started")))</f>
        <v/>
      </c>
      <c r="L238" s="5" t="str">
        <f>IF($A238="","",SUMIFS(WIPLog!$H:$H,WIPLog!$C:$C,$A238))</f>
        <v/>
      </c>
      <c r="M238" s="5" t="str">
        <f>IF($A238="","",SUMIFS(WIPLog!$I:$I,WIPLog!$C:$C,$A238))</f>
        <v/>
      </c>
      <c r="N238" s="5" t="str">
        <f>IF($A238="","",SUMIFS(WIPLog!$K:$K,WIPLog!$C:$C,$A238))</f>
        <v/>
      </c>
      <c r="O238" s="5" t="str">
        <f>IF($A238="","",SUMIFS('Delivery Log'!$E:$E,'Delivery Log'!$B:$B,$A238))</f>
        <v/>
      </c>
      <c r="P238" s="5" t="str">
        <f t="shared" si="6"/>
        <v/>
      </c>
      <c r="Q238" t="str">
        <f t="shared" si="7"/>
        <v/>
      </c>
    </row>
    <row r="239" spans="7:17">
      <c r="G239" s="5"/>
      <c r="H239" s="4"/>
      <c r="I239" s="4"/>
      <c r="K239" t="str">
        <f>IF($A239="","",IF($O239&gt;=$G239,"Delivered",IFERROR(LOOKUP(2,1/(WIPLog!$C$2:$C$1000=$A239),WIPLog!$F$2:$F$1000),"Not Started")))</f>
        <v/>
      </c>
      <c r="L239" s="5" t="str">
        <f>IF($A239="","",SUMIFS(WIPLog!$H:$H,WIPLog!$C:$C,$A239))</f>
        <v/>
      </c>
      <c r="M239" s="5" t="str">
        <f>IF($A239="","",SUMIFS(WIPLog!$I:$I,WIPLog!$C:$C,$A239))</f>
        <v/>
      </c>
      <c r="N239" s="5" t="str">
        <f>IF($A239="","",SUMIFS(WIPLog!$K:$K,WIPLog!$C:$C,$A239))</f>
        <v/>
      </c>
      <c r="O239" s="5" t="str">
        <f>IF($A239="","",SUMIFS('Delivery Log'!$E:$E,'Delivery Log'!$B:$B,$A239))</f>
        <v/>
      </c>
      <c r="P239" s="5" t="str">
        <f t="shared" si="6"/>
        <v/>
      </c>
      <c r="Q239" t="str">
        <f t="shared" si="7"/>
        <v/>
      </c>
    </row>
    <row r="240" spans="7:17">
      <c r="G240" s="5"/>
      <c r="H240" s="4"/>
      <c r="I240" s="4"/>
      <c r="K240" t="str">
        <f>IF($A240="","",IF($O240&gt;=$G240,"Delivered",IFERROR(LOOKUP(2,1/(WIPLog!$C$2:$C$1000=$A240),WIPLog!$F$2:$F$1000),"Not Started")))</f>
        <v/>
      </c>
      <c r="L240" s="5" t="str">
        <f>IF($A240="","",SUMIFS(WIPLog!$H:$H,WIPLog!$C:$C,$A240))</f>
        <v/>
      </c>
      <c r="M240" s="5" t="str">
        <f>IF($A240="","",SUMIFS(WIPLog!$I:$I,WIPLog!$C:$C,$A240))</f>
        <v/>
      </c>
      <c r="N240" s="5" t="str">
        <f>IF($A240="","",SUMIFS(WIPLog!$K:$K,WIPLog!$C:$C,$A240))</f>
        <v/>
      </c>
      <c r="O240" s="5" t="str">
        <f>IF($A240="","",SUMIFS('Delivery Log'!$E:$E,'Delivery Log'!$B:$B,$A240))</f>
        <v/>
      </c>
      <c r="P240" s="5" t="str">
        <f t="shared" si="6"/>
        <v/>
      </c>
      <c r="Q240" t="str">
        <f t="shared" si="7"/>
        <v/>
      </c>
    </row>
    <row r="241" spans="7:17">
      <c r="G241" s="5"/>
      <c r="H241" s="4"/>
      <c r="I241" s="4"/>
      <c r="K241" t="str">
        <f>IF($A241="","",IF($O241&gt;=$G241,"Delivered",IFERROR(LOOKUP(2,1/(WIPLog!$C$2:$C$1000=$A241),WIPLog!$F$2:$F$1000),"Not Started")))</f>
        <v/>
      </c>
      <c r="L241" s="5" t="str">
        <f>IF($A241="","",SUMIFS(WIPLog!$H:$H,WIPLog!$C:$C,$A241))</f>
        <v/>
      </c>
      <c r="M241" s="5" t="str">
        <f>IF($A241="","",SUMIFS(WIPLog!$I:$I,WIPLog!$C:$C,$A241))</f>
        <v/>
      </c>
      <c r="N241" s="5" t="str">
        <f>IF($A241="","",SUMIFS(WIPLog!$K:$K,WIPLog!$C:$C,$A241))</f>
        <v/>
      </c>
      <c r="O241" s="5" t="str">
        <f>IF($A241="","",SUMIFS('Delivery Log'!$E:$E,'Delivery Log'!$B:$B,$A241))</f>
        <v/>
      </c>
      <c r="P241" s="5" t="str">
        <f t="shared" si="6"/>
        <v/>
      </c>
      <c r="Q241" t="str">
        <f t="shared" si="7"/>
        <v/>
      </c>
    </row>
    <row r="242" spans="7:17">
      <c r="G242" s="5"/>
      <c r="H242" s="4"/>
      <c r="I242" s="4"/>
      <c r="K242" t="str">
        <f>IF($A242="","",IF($O242&gt;=$G242,"Delivered",IFERROR(LOOKUP(2,1/(WIPLog!$C$2:$C$1000=$A242),WIPLog!$F$2:$F$1000),"Not Started")))</f>
        <v/>
      </c>
      <c r="L242" s="5" t="str">
        <f>IF($A242="","",SUMIFS(WIPLog!$H:$H,WIPLog!$C:$C,$A242))</f>
        <v/>
      </c>
      <c r="M242" s="5" t="str">
        <f>IF($A242="","",SUMIFS(WIPLog!$I:$I,WIPLog!$C:$C,$A242))</f>
        <v/>
      </c>
      <c r="N242" s="5" t="str">
        <f>IF($A242="","",SUMIFS(WIPLog!$K:$K,WIPLog!$C:$C,$A242))</f>
        <v/>
      </c>
      <c r="O242" s="5" t="str">
        <f>IF($A242="","",SUMIFS('Delivery Log'!$E:$E,'Delivery Log'!$B:$B,$A242))</f>
        <v/>
      </c>
      <c r="P242" s="5" t="str">
        <f t="shared" si="6"/>
        <v/>
      </c>
      <c r="Q242" t="str">
        <f t="shared" si="7"/>
        <v/>
      </c>
    </row>
    <row r="243" spans="7:17">
      <c r="G243" s="5"/>
      <c r="H243" s="4"/>
      <c r="I243" s="4"/>
      <c r="K243" t="str">
        <f>IF($A243="","",IF($O243&gt;=$G243,"Delivered",IFERROR(LOOKUP(2,1/(WIPLog!$C$2:$C$1000=$A243),WIPLog!$F$2:$F$1000),"Not Started")))</f>
        <v/>
      </c>
      <c r="L243" s="5" t="str">
        <f>IF($A243="","",SUMIFS(WIPLog!$H:$H,WIPLog!$C:$C,$A243))</f>
        <v/>
      </c>
      <c r="M243" s="5" t="str">
        <f>IF($A243="","",SUMIFS(WIPLog!$I:$I,WIPLog!$C:$C,$A243))</f>
        <v/>
      </c>
      <c r="N243" s="5" t="str">
        <f>IF($A243="","",SUMIFS(WIPLog!$K:$K,WIPLog!$C:$C,$A243))</f>
        <v/>
      </c>
      <c r="O243" s="5" t="str">
        <f>IF($A243="","",SUMIFS('Delivery Log'!$E:$E,'Delivery Log'!$B:$B,$A243))</f>
        <v/>
      </c>
      <c r="P243" s="5" t="str">
        <f t="shared" si="6"/>
        <v/>
      </c>
      <c r="Q243" t="str">
        <f t="shared" si="7"/>
        <v/>
      </c>
    </row>
    <row r="244" spans="7:17">
      <c r="G244" s="5"/>
      <c r="H244" s="4"/>
      <c r="I244" s="4"/>
      <c r="K244" t="str">
        <f>IF($A244="","",IF($O244&gt;=$G244,"Delivered",IFERROR(LOOKUP(2,1/(WIPLog!$C$2:$C$1000=$A244),WIPLog!$F$2:$F$1000),"Not Started")))</f>
        <v/>
      </c>
      <c r="L244" s="5" t="str">
        <f>IF($A244="","",SUMIFS(WIPLog!$H:$H,WIPLog!$C:$C,$A244))</f>
        <v/>
      </c>
      <c r="M244" s="5" t="str">
        <f>IF($A244="","",SUMIFS(WIPLog!$I:$I,WIPLog!$C:$C,$A244))</f>
        <v/>
      </c>
      <c r="N244" s="5" t="str">
        <f>IF($A244="","",SUMIFS(WIPLog!$K:$K,WIPLog!$C:$C,$A244))</f>
        <v/>
      </c>
      <c r="O244" s="5" t="str">
        <f>IF($A244="","",SUMIFS('Delivery Log'!$E:$E,'Delivery Log'!$B:$B,$A244))</f>
        <v/>
      </c>
      <c r="P244" s="5" t="str">
        <f t="shared" si="6"/>
        <v/>
      </c>
      <c r="Q244" t="str">
        <f t="shared" si="7"/>
        <v/>
      </c>
    </row>
    <row r="245" spans="7:17">
      <c r="G245" s="5"/>
      <c r="H245" s="4"/>
      <c r="I245" s="4"/>
      <c r="K245" t="str">
        <f>IF($A245="","",IF($O245&gt;=$G245,"Delivered",IFERROR(LOOKUP(2,1/(WIPLog!$C$2:$C$1000=$A245),WIPLog!$F$2:$F$1000),"Not Started")))</f>
        <v/>
      </c>
      <c r="L245" s="5" t="str">
        <f>IF($A245="","",SUMIFS(WIPLog!$H:$H,WIPLog!$C:$C,$A245))</f>
        <v/>
      </c>
      <c r="M245" s="5" t="str">
        <f>IF($A245="","",SUMIFS(WIPLog!$I:$I,WIPLog!$C:$C,$A245))</f>
        <v/>
      </c>
      <c r="N245" s="5" t="str">
        <f>IF($A245="","",SUMIFS(WIPLog!$K:$K,WIPLog!$C:$C,$A245))</f>
        <v/>
      </c>
      <c r="O245" s="5" t="str">
        <f>IF($A245="","",SUMIFS('Delivery Log'!$E:$E,'Delivery Log'!$B:$B,$A245))</f>
        <v/>
      </c>
      <c r="P245" s="5" t="str">
        <f t="shared" si="6"/>
        <v/>
      </c>
      <c r="Q245" t="str">
        <f t="shared" si="7"/>
        <v/>
      </c>
    </row>
    <row r="246" spans="7:17">
      <c r="G246" s="5"/>
      <c r="H246" s="4"/>
      <c r="I246" s="4"/>
      <c r="K246" t="str">
        <f>IF($A246="","",IF($O246&gt;=$G246,"Delivered",IFERROR(LOOKUP(2,1/(WIPLog!$C$2:$C$1000=$A246),WIPLog!$F$2:$F$1000),"Not Started")))</f>
        <v/>
      </c>
      <c r="L246" s="5" t="str">
        <f>IF($A246="","",SUMIFS(WIPLog!$H:$H,WIPLog!$C:$C,$A246))</f>
        <v/>
      </c>
      <c r="M246" s="5" t="str">
        <f>IF($A246="","",SUMIFS(WIPLog!$I:$I,WIPLog!$C:$C,$A246))</f>
        <v/>
      </c>
      <c r="N246" s="5" t="str">
        <f>IF($A246="","",SUMIFS(WIPLog!$K:$K,WIPLog!$C:$C,$A246))</f>
        <v/>
      </c>
      <c r="O246" s="5" t="str">
        <f>IF($A246="","",SUMIFS('Delivery Log'!$E:$E,'Delivery Log'!$B:$B,$A246))</f>
        <v/>
      </c>
      <c r="P246" s="5" t="str">
        <f t="shared" si="6"/>
        <v/>
      </c>
      <c r="Q246" t="str">
        <f t="shared" si="7"/>
        <v/>
      </c>
    </row>
    <row r="247" spans="7:17">
      <c r="G247" s="5"/>
      <c r="H247" s="4"/>
      <c r="I247" s="4"/>
      <c r="K247" t="str">
        <f>IF($A247="","",IF($O247&gt;=$G247,"Delivered",IFERROR(LOOKUP(2,1/(WIPLog!$C$2:$C$1000=$A247),WIPLog!$F$2:$F$1000),"Not Started")))</f>
        <v/>
      </c>
      <c r="L247" s="5" t="str">
        <f>IF($A247="","",SUMIFS(WIPLog!$H:$H,WIPLog!$C:$C,$A247))</f>
        <v/>
      </c>
      <c r="M247" s="5" t="str">
        <f>IF($A247="","",SUMIFS(WIPLog!$I:$I,WIPLog!$C:$C,$A247))</f>
        <v/>
      </c>
      <c r="N247" s="5" t="str">
        <f>IF($A247="","",SUMIFS(WIPLog!$K:$K,WIPLog!$C:$C,$A247))</f>
        <v/>
      </c>
      <c r="O247" s="5" t="str">
        <f>IF($A247="","",SUMIFS('Delivery Log'!$E:$E,'Delivery Log'!$B:$B,$A247))</f>
        <v/>
      </c>
      <c r="P247" s="5" t="str">
        <f t="shared" si="6"/>
        <v/>
      </c>
      <c r="Q247" t="str">
        <f t="shared" si="7"/>
        <v/>
      </c>
    </row>
    <row r="248" spans="7:17">
      <c r="G248" s="5"/>
      <c r="H248" s="4"/>
      <c r="I248" s="4"/>
      <c r="K248" t="str">
        <f>IF($A248="","",IF($O248&gt;=$G248,"Delivered",IFERROR(LOOKUP(2,1/(WIPLog!$C$2:$C$1000=$A248),WIPLog!$F$2:$F$1000),"Not Started")))</f>
        <v/>
      </c>
      <c r="L248" s="5" t="str">
        <f>IF($A248="","",SUMIFS(WIPLog!$H:$H,WIPLog!$C:$C,$A248))</f>
        <v/>
      </c>
      <c r="M248" s="5" t="str">
        <f>IF($A248="","",SUMIFS(WIPLog!$I:$I,WIPLog!$C:$C,$A248))</f>
        <v/>
      </c>
      <c r="N248" s="5" t="str">
        <f>IF($A248="","",SUMIFS(WIPLog!$K:$K,WIPLog!$C:$C,$A248))</f>
        <v/>
      </c>
      <c r="O248" s="5" t="str">
        <f>IF($A248="","",SUMIFS('Delivery Log'!$E:$E,'Delivery Log'!$B:$B,$A248))</f>
        <v/>
      </c>
      <c r="P248" s="5" t="str">
        <f t="shared" si="6"/>
        <v/>
      </c>
      <c r="Q248" t="str">
        <f t="shared" si="7"/>
        <v/>
      </c>
    </row>
    <row r="249" spans="7:17">
      <c r="G249" s="5"/>
      <c r="H249" s="4"/>
      <c r="I249" s="4"/>
      <c r="K249" t="str">
        <f>IF($A249="","",IF($O249&gt;=$G249,"Delivered",IFERROR(LOOKUP(2,1/(WIPLog!$C$2:$C$1000=$A249),WIPLog!$F$2:$F$1000),"Not Started")))</f>
        <v/>
      </c>
      <c r="L249" s="5" t="str">
        <f>IF($A249="","",SUMIFS(WIPLog!$H:$H,WIPLog!$C:$C,$A249))</f>
        <v/>
      </c>
      <c r="M249" s="5" t="str">
        <f>IF($A249="","",SUMIFS(WIPLog!$I:$I,WIPLog!$C:$C,$A249))</f>
        <v/>
      </c>
      <c r="N249" s="5" t="str">
        <f>IF($A249="","",SUMIFS(WIPLog!$K:$K,WIPLog!$C:$C,$A249))</f>
        <v/>
      </c>
      <c r="O249" s="5" t="str">
        <f>IF($A249="","",SUMIFS('Delivery Log'!$E:$E,'Delivery Log'!$B:$B,$A249))</f>
        <v/>
      </c>
      <c r="P249" s="5" t="str">
        <f t="shared" si="6"/>
        <v/>
      </c>
      <c r="Q249" t="str">
        <f t="shared" si="7"/>
        <v/>
      </c>
    </row>
    <row r="250" spans="7:17">
      <c r="G250" s="5"/>
      <c r="H250" s="4"/>
      <c r="I250" s="4"/>
      <c r="K250" t="str">
        <f>IF($A250="","",IF($O250&gt;=$G250,"Delivered",IFERROR(LOOKUP(2,1/(WIPLog!$C$2:$C$1000=$A250),WIPLog!$F$2:$F$1000),"Not Started")))</f>
        <v/>
      </c>
      <c r="L250" s="5" t="str">
        <f>IF($A250="","",SUMIFS(WIPLog!$H:$H,WIPLog!$C:$C,$A250))</f>
        <v/>
      </c>
      <c r="M250" s="5" t="str">
        <f>IF($A250="","",SUMIFS(WIPLog!$I:$I,WIPLog!$C:$C,$A250))</f>
        <v/>
      </c>
      <c r="N250" s="5" t="str">
        <f>IF($A250="","",SUMIFS(WIPLog!$K:$K,WIPLog!$C:$C,$A250))</f>
        <v/>
      </c>
      <c r="O250" s="5" t="str">
        <f>IF($A250="","",SUMIFS('Delivery Log'!$E:$E,'Delivery Log'!$B:$B,$A250))</f>
        <v/>
      </c>
      <c r="P250" s="5" t="str">
        <f t="shared" si="6"/>
        <v/>
      </c>
      <c r="Q250" t="str">
        <f t="shared" si="7"/>
        <v/>
      </c>
    </row>
    <row r="251" spans="7:17">
      <c r="G251" s="5"/>
      <c r="H251" s="4"/>
      <c r="I251" s="4"/>
      <c r="K251" t="str">
        <f>IF($A251="","",IF($O251&gt;=$G251,"Delivered",IFERROR(LOOKUP(2,1/(WIPLog!$C$2:$C$1000=$A251),WIPLog!$F$2:$F$1000),"Not Started")))</f>
        <v/>
      </c>
      <c r="L251" s="5" t="str">
        <f>IF($A251="","",SUMIFS(WIPLog!$H:$H,WIPLog!$C:$C,$A251))</f>
        <v/>
      </c>
      <c r="M251" s="5" t="str">
        <f>IF($A251="","",SUMIFS(WIPLog!$I:$I,WIPLog!$C:$C,$A251))</f>
        <v/>
      </c>
      <c r="N251" s="5" t="str">
        <f>IF($A251="","",SUMIFS(WIPLog!$K:$K,WIPLog!$C:$C,$A251))</f>
        <v/>
      </c>
      <c r="O251" s="5" t="str">
        <f>IF($A251="","",SUMIFS('Delivery Log'!$E:$E,'Delivery Log'!$B:$B,$A251))</f>
        <v/>
      </c>
      <c r="P251" s="5" t="str">
        <f t="shared" si="6"/>
        <v/>
      </c>
      <c r="Q251" t="str">
        <f t="shared" si="7"/>
        <v/>
      </c>
    </row>
    <row r="252" spans="7:17">
      <c r="G252" s="5"/>
      <c r="H252" s="4"/>
      <c r="I252" s="4"/>
      <c r="K252" t="str">
        <f>IF($A252="","",IF($O252&gt;=$G252,"Delivered",IFERROR(LOOKUP(2,1/(WIPLog!$C$2:$C$1000=$A252),WIPLog!$F$2:$F$1000),"Not Started")))</f>
        <v/>
      </c>
      <c r="L252" s="5" t="str">
        <f>IF($A252="","",SUMIFS(WIPLog!$H:$H,WIPLog!$C:$C,$A252))</f>
        <v/>
      </c>
      <c r="M252" s="5" t="str">
        <f>IF($A252="","",SUMIFS(WIPLog!$I:$I,WIPLog!$C:$C,$A252))</f>
        <v/>
      </c>
      <c r="N252" s="5" t="str">
        <f>IF($A252="","",SUMIFS(WIPLog!$K:$K,WIPLog!$C:$C,$A252))</f>
        <v/>
      </c>
      <c r="O252" s="5" t="str">
        <f>IF($A252="","",SUMIFS('Delivery Log'!$E:$E,'Delivery Log'!$B:$B,$A252))</f>
        <v/>
      </c>
      <c r="P252" s="5" t="str">
        <f t="shared" si="6"/>
        <v/>
      </c>
      <c r="Q252" t="str">
        <f t="shared" si="7"/>
        <v/>
      </c>
    </row>
    <row r="253" spans="7:17">
      <c r="G253" s="5"/>
      <c r="H253" s="4"/>
      <c r="I253" s="4"/>
      <c r="K253" t="str">
        <f>IF($A253="","",IF($O253&gt;=$G253,"Delivered",IFERROR(LOOKUP(2,1/(WIPLog!$C$2:$C$1000=$A253),WIPLog!$F$2:$F$1000),"Not Started")))</f>
        <v/>
      </c>
      <c r="L253" s="5" t="str">
        <f>IF($A253="","",SUMIFS(WIPLog!$H:$H,WIPLog!$C:$C,$A253))</f>
        <v/>
      </c>
      <c r="M253" s="5" t="str">
        <f>IF($A253="","",SUMIFS(WIPLog!$I:$I,WIPLog!$C:$C,$A253))</f>
        <v/>
      </c>
      <c r="N253" s="5" t="str">
        <f>IF($A253="","",SUMIFS(WIPLog!$K:$K,WIPLog!$C:$C,$A253))</f>
        <v/>
      </c>
      <c r="O253" s="5" t="str">
        <f>IF($A253="","",SUMIFS('Delivery Log'!$E:$E,'Delivery Log'!$B:$B,$A253))</f>
        <v/>
      </c>
      <c r="P253" s="5" t="str">
        <f t="shared" si="6"/>
        <v/>
      </c>
      <c r="Q253" t="str">
        <f t="shared" si="7"/>
        <v/>
      </c>
    </row>
    <row r="254" spans="7:17">
      <c r="G254" s="5"/>
      <c r="H254" s="4"/>
      <c r="I254" s="4"/>
      <c r="K254" t="str">
        <f>IF($A254="","",IF($O254&gt;=$G254,"Delivered",IFERROR(LOOKUP(2,1/(WIPLog!$C$2:$C$1000=$A254),WIPLog!$F$2:$F$1000),"Not Started")))</f>
        <v/>
      </c>
      <c r="L254" s="5" t="str">
        <f>IF($A254="","",SUMIFS(WIPLog!$H:$H,WIPLog!$C:$C,$A254))</f>
        <v/>
      </c>
      <c r="M254" s="5" t="str">
        <f>IF($A254="","",SUMIFS(WIPLog!$I:$I,WIPLog!$C:$C,$A254))</f>
        <v/>
      </c>
      <c r="N254" s="5" t="str">
        <f>IF($A254="","",SUMIFS(WIPLog!$K:$K,WIPLog!$C:$C,$A254))</f>
        <v/>
      </c>
      <c r="O254" s="5" t="str">
        <f>IF($A254="","",SUMIFS('Delivery Log'!$E:$E,'Delivery Log'!$B:$B,$A254))</f>
        <v/>
      </c>
      <c r="P254" s="5" t="str">
        <f t="shared" si="6"/>
        <v/>
      </c>
      <c r="Q254" t="str">
        <f t="shared" si="7"/>
        <v/>
      </c>
    </row>
    <row r="255" spans="7:17">
      <c r="G255" s="5"/>
      <c r="H255" s="4"/>
      <c r="I255" s="4"/>
      <c r="K255" t="str">
        <f>IF($A255="","",IF($O255&gt;=$G255,"Delivered",IFERROR(LOOKUP(2,1/(WIPLog!$C$2:$C$1000=$A255),WIPLog!$F$2:$F$1000),"Not Started")))</f>
        <v/>
      </c>
      <c r="L255" s="5" t="str">
        <f>IF($A255="","",SUMIFS(WIPLog!$H:$H,WIPLog!$C:$C,$A255))</f>
        <v/>
      </c>
      <c r="M255" s="5" t="str">
        <f>IF($A255="","",SUMIFS(WIPLog!$I:$I,WIPLog!$C:$C,$A255))</f>
        <v/>
      </c>
      <c r="N255" s="5" t="str">
        <f>IF($A255="","",SUMIFS(WIPLog!$K:$K,WIPLog!$C:$C,$A255))</f>
        <v/>
      </c>
      <c r="O255" s="5" t="str">
        <f>IF($A255="","",SUMIFS('Delivery Log'!$E:$E,'Delivery Log'!$B:$B,$A255))</f>
        <v/>
      </c>
      <c r="P255" s="5" t="str">
        <f t="shared" si="6"/>
        <v/>
      </c>
      <c r="Q255" t="str">
        <f t="shared" si="7"/>
        <v/>
      </c>
    </row>
    <row r="256" spans="7:17">
      <c r="G256" s="5"/>
      <c r="H256" s="4"/>
      <c r="I256" s="4"/>
      <c r="K256" t="str">
        <f>IF($A256="","",IF($O256&gt;=$G256,"Delivered",IFERROR(LOOKUP(2,1/(WIPLog!$C$2:$C$1000=$A256),WIPLog!$F$2:$F$1000),"Not Started")))</f>
        <v/>
      </c>
      <c r="L256" s="5" t="str">
        <f>IF($A256="","",SUMIFS(WIPLog!$H:$H,WIPLog!$C:$C,$A256))</f>
        <v/>
      </c>
      <c r="M256" s="5" t="str">
        <f>IF($A256="","",SUMIFS(WIPLog!$I:$I,WIPLog!$C:$C,$A256))</f>
        <v/>
      </c>
      <c r="N256" s="5" t="str">
        <f>IF($A256="","",SUMIFS(WIPLog!$K:$K,WIPLog!$C:$C,$A256))</f>
        <v/>
      </c>
      <c r="O256" s="5" t="str">
        <f>IF($A256="","",SUMIFS('Delivery Log'!$E:$E,'Delivery Log'!$B:$B,$A256))</f>
        <v/>
      </c>
      <c r="P256" s="5" t="str">
        <f t="shared" si="6"/>
        <v/>
      </c>
      <c r="Q256" t="str">
        <f t="shared" si="7"/>
        <v/>
      </c>
    </row>
    <row r="257" spans="7:17">
      <c r="G257" s="5"/>
      <c r="H257" s="4"/>
      <c r="I257" s="4"/>
      <c r="K257" t="str">
        <f>IF($A257="","",IF($O257&gt;=$G257,"Delivered",IFERROR(LOOKUP(2,1/(WIPLog!$C$2:$C$1000=$A257),WIPLog!$F$2:$F$1000),"Not Started")))</f>
        <v/>
      </c>
      <c r="L257" s="5" t="str">
        <f>IF($A257="","",SUMIFS(WIPLog!$H:$H,WIPLog!$C:$C,$A257))</f>
        <v/>
      </c>
      <c r="M257" s="5" t="str">
        <f>IF($A257="","",SUMIFS(WIPLog!$I:$I,WIPLog!$C:$C,$A257))</f>
        <v/>
      </c>
      <c r="N257" s="5" t="str">
        <f>IF($A257="","",SUMIFS(WIPLog!$K:$K,WIPLog!$C:$C,$A257))</f>
        <v/>
      </c>
      <c r="O257" s="5" t="str">
        <f>IF($A257="","",SUMIFS('Delivery Log'!$E:$E,'Delivery Log'!$B:$B,$A257))</f>
        <v/>
      </c>
      <c r="P257" s="5" t="str">
        <f t="shared" si="6"/>
        <v/>
      </c>
      <c r="Q257" t="str">
        <f t="shared" si="7"/>
        <v/>
      </c>
    </row>
    <row r="258" spans="7:17">
      <c r="G258" s="5"/>
      <c r="H258" s="4"/>
      <c r="I258" s="4"/>
      <c r="K258" t="str">
        <f>IF($A258="","",IF($O258&gt;=$G258,"Delivered",IFERROR(LOOKUP(2,1/(WIPLog!$C$2:$C$1000=$A258),WIPLog!$F$2:$F$1000),"Not Started")))</f>
        <v/>
      </c>
      <c r="L258" s="5" t="str">
        <f>IF($A258="","",SUMIFS(WIPLog!$H:$H,WIPLog!$C:$C,$A258))</f>
        <v/>
      </c>
      <c r="M258" s="5" t="str">
        <f>IF($A258="","",SUMIFS(WIPLog!$I:$I,WIPLog!$C:$C,$A258))</f>
        <v/>
      </c>
      <c r="N258" s="5" t="str">
        <f>IF($A258="","",SUMIFS(WIPLog!$K:$K,WIPLog!$C:$C,$A258))</f>
        <v/>
      </c>
      <c r="O258" s="5" t="str">
        <f>IF($A258="","",SUMIFS('Delivery Log'!$E:$E,'Delivery Log'!$B:$B,$A258))</f>
        <v/>
      </c>
      <c r="P258" s="5" t="str">
        <f t="shared" ref="P258:P321" si="8">IF($A258="","",MAX(0,$G258-$O258-$N258))</f>
        <v/>
      </c>
      <c r="Q258" t="str">
        <f t="shared" ref="Q258:Q321" si="9">IF($A258="","",IF($O258&gt;=$G258,"Delivered",IF($O258&gt;0,"Partial",IF($P258=0,"Closed","Open"))))</f>
        <v/>
      </c>
    </row>
    <row r="259" spans="7:17">
      <c r="G259" s="5"/>
      <c r="H259" s="4"/>
      <c r="I259" s="4"/>
      <c r="K259" t="str">
        <f>IF($A259="","",IF($O259&gt;=$G259,"Delivered",IFERROR(LOOKUP(2,1/(WIPLog!$C$2:$C$1000=$A259),WIPLog!$F$2:$F$1000),"Not Started")))</f>
        <v/>
      </c>
      <c r="L259" s="5" t="str">
        <f>IF($A259="","",SUMIFS(WIPLog!$H:$H,WIPLog!$C:$C,$A259))</f>
        <v/>
      </c>
      <c r="M259" s="5" t="str">
        <f>IF($A259="","",SUMIFS(WIPLog!$I:$I,WIPLog!$C:$C,$A259))</f>
        <v/>
      </c>
      <c r="N259" s="5" t="str">
        <f>IF($A259="","",SUMIFS(WIPLog!$K:$K,WIPLog!$C:$C,$A259))</f>
        <v/>
      </c>
      <c r="O259" s="5" t="str">
        <f>IF($A259="","",SUMIFS('Delivery Log'!$E:$E,'Delivery Log'!$B:$B,$A259))</f>
        <v/>
      </c>
      <c r="P259" s="5" t="str">
        <f t="shared" si="8"/>
        <v/>
      </c>
      <c r="Q259" t="str">
        <f t="shared" si="9"/>
        <v/>
      </c>
    </row>
    <row r="260" spans="7:17">
      <c r="G260" s="5"/>
      <c r="H260" s="4"/>
      <c r="I260" s="4"/>
      <c r="K260" t="str">
        <f>IF($A260="","",IF($O260&gt;=$G260,"Delivered",IFERROR(LOOKUP(2,1/(WIPLog!$C$2:$C$1000=$A260),WIPLog!$F$2:$F$1000),"Not Started")))</f>
        <v/>
      </c>
      <c r="L260" s="5" t="str">
        <f>IF($A260="","",SUMIFS(WIPLog!$H:$H,WIPLog!$C:$C,$A260))</f>
        <v/>
      </c>
      <c r="M260" s="5" t="str">
        <f>IF($A260="","",SUMIFS(WIPLog!$I:$I,WIPLog!$C:$C,$A260))</f>
        <v/>
      </c>
      <c r="N260" s="5" t="str">
        <f>IF($A260="","",SUMIFS(WIPLog!$K:$K,WIPLog!$C:$C,$A260))</f>
        <v/>
      </c>
      <c r="O260" s="5" t="str">
        <f>IF($A260="","",SUMIFS('Delivery Log'!$E:$E,'Delivery Log'!$B:$B,$A260))</f>
        <v/>
      </c>
      <c r="P260" s="5" t="str">
        <f t="shared" si="8"/>
        <v/>
      </c>
      <c r="Q260" t="str">
        <f t="shared" si="9"/>
        <v/>
      </c>
    </row>
    <row r="261" spans="7:17">
      <c r="G261" s="5"/>
      <c r="H261" s="4"/>
      <c r="I261" s="4"/>
      <c r="K261" t="str">
        <f>IF($A261="","",IF($O261&gt;=$G261,"Delivered",IFERROR(LOOKUP(2,1/(WIPLog!$C$2:$C$1000=$A261),WIPLog!$F$2:$F$1000),"Not Started")))</f>
        <v/>
      </c>
      <c r="L261" s="5" t="str">
        <f>IF($A261="","",SUMIFS(WIPLog!$H:$H,WIPLog!$C:$C,$A261))</f>
        <v/>
      </c>
      <c r="M261" s="5" t="str">
        <f>IF($A261="","",SUMIFS(WIPLog!$I:$I,WIPLog!$C:$C,$A261))</f>
        <v/>
      </c>
      <c r="N261" s="5" t="str">
        <f>IF($A261="","",SUMIFS(WIPLog!$K:$K,WIPLog!$C:$C,$A261))</f>
        <v/>
      </c>
      <c r="O261" s="5" t="str">
        <f>IF($A261="","",SUMIFS('Delivery Log'!$E:$E,'Delivery Log'!$B:$B,$A261))</f>
        <v/>
      </c>
      <c r="P261" s="5" t="str">
        <f t="shared" si="8"/>
        <v/>
      </c>
      <c r="Q261" t="str">
        <f t="shared" si="9"/>
        <v/>
      </c>
    </row>
    <row r="262" spans="7:17">
      <c r="G262" s="5"/>
      <c r="H262" s="4"/>
      <c r="I262" s="4"/>
      <c r="K262" t="str">
        <f>IF($A262="","",IF($O262&gt;=$G262,"Delivered",IFERROR(LOOKUP(2,1/(WIPLog!$C$2:$C$1000=$A262),WIPLog!$F$2:$F$1000),"Not Started")))</f>
        <v/>
      </c>
      <c r="L262" s="5" t="str">
        <f>IF($A262="","",SUMIFS(WIPLog!$H:$H,WIPLog!$C:$C,$A262))</f>
        <v/>
      </c>
      <c r="M262" s="5" t="str">
        <f>IF($A262="","",SUMIFS(WIPLog!$I:$I,WIPLog!$C:$C,$A262))</f>
        <v/>
      </c>
      <c r="N262" s="5" t="str">
        <f>IF($A262="","",SUMIFS(WIPLog!$K:$K,WIPLog!$C:$C,$A262))</f>
        <v/>
      </c>
      <c r="O262" s="5" t="str">
        <f>IF($A262="","",SUMIFS('Delivery Log'!$E:$E,'Delivery Log'!$B:$B,$A262))</f>
        <v/>
      </c>
      <c r="P262" s="5" t="str">
        <f t="shared" si="8"/>
        <v/>
      </c>
      <c r="Q262" t="str">
        <f t="shared" si="9"/>
        <v/>
      </c>
    </row>
    <row r="263" spans="7:17">
      <c r="G263" s="5"/>
      <c r="H263" s="4"/>
      <c r="I263" s="4"/>
      <c r="K263" t="str">
        <f>IF($A263="","",IF($O263&gt;=$G263,"Delivered",IFERROR(LOOKUP(2,1/(WIPLog!$C$2:$C$1000=$A263),WIPLog!$F$2:$F$1000),"Not Started")))</f>
        <v/>
      </c>
      <c r="L263" s="5" t="str">
        <f>IF($A263="","",SUMIFS(WIPLog!$H:$H,WIPLog!$C:$C,$A263))</f>
        <v/>
      </c>
      <c r="M263" s="5" t="str">
        <f>IF($A263="","",SUMIFS(WIPLog!$I:$I,WIPLog!$C:$C,$A263))</f>
        <v/>
      </c>
      <c r="N263" s="5" t="str">
        <f>IF($A263="","",SUMIFS(WIPLog!$K:$K,WIPLog!$C:$C,$A263))</f>
        <v/>
      </c>
      <c r="O263" s="5" t="str">
        <f>IF($A263="","",SUMIFS('Delivery Log'!$E:$E,'Delivery Log'!$B:$B,$A263))</f>
        <v/>
      </c>
      <c r="P263" s="5" t="str">
        <f t="shared" si="8"/>
        <v/>
      </c>
      <c r="Q263" t="str">
        <f t="shared" si="9"/>
        <v/>
      </c>
    </row>
    <row r="264" spans="7:17">
      <c r="G264" s="5"/>
      <c r="H264" s="4"/>
      <c r="I264" s="4"/>
      <c r="K264" t="str">
        <f>IF($A264="","",IF($O264&gt;=$G264,"Delivered",IFERROR(LOOKUP(2,1/(WIPLog!$C$2:$C$1000=$A264),WIPLog!$F$2:$F$1000),"Not Started")))</f>
        <v/>
      </c>
      <c r="L264" s="5" t="str">
        <f>IF($A264="","",SUMIFS(WIPLog!$H:$H,WIPLog!$C:$C,$A264))</f>
        <v/>
      </c>
      <c r="M264" s="5" t="str">
        <f>IF($A264="","",SUMIFS(WIPLog!$I:$I,WIPLog!$C:$C,$A264))</f>
        <v/>
      </c>
      <c r="N264" s="5" t="str">
        <f>IF($A264="","",SUMIFS(WIPLog!$K:$K,WIPLog!$C:$C,$A264))</f>
        <v/>
      </c>
      <c r="O264" s="5" t="str">
        <f>IF($A264="","",SUMIFS('Delivery Log'!$E:$E,'Delivery Log'!$B:$B,$A264))</f>
        <v/>
      </c>
      <c r="P264" s="5" t="str">
        <f t="shared" si="8"/>
        <v/>
      </c>
      <c r="Q264" t="str">
        <f t="shared" si="9"/>
        <v/>
      </c>
    </row>
    <row r="265" spans="7:17">
      <c r="G265" s="5"/>
      <c r="H265" s="4"/>
      <c r="I265" s="4"/>
      <c r="K265" t="str">
        <f>IF($A265="","",IF($O265&gt;=$G265,"Delivered",IFERROR(LOOKUP(2,1/(WIPLog!$C$2:$C$1000=$A265),WIPLog!$F$2:$F$1000),"Not Started")))</f>
        <v/>
      </c>
      <c r="L265" s="5" t="str">
        <f>IF($A265="","",SUMIFS(WIPLog!$H:$H,WIPLog!$C:$C,$A265))</f>
        <v/>
      </c>
      <c r="M265" s="5" t="str">
        <f>IF($A265="","",SUMIFS(WIPLog!$I:$I,WIPLog!$C:$C,$A265))</f>
        <v/>
      </c>
      <c r="N265" s="5" t="str">
        <f>IF($A265="","",SUMIFS(WIPLog!$K:$K,WIPLog!$C:$C,$A265))</f>
        <v/>
      </c>
      <c r="O265" s="5" t="str">
        <f>IF($A265="","",SUMIFS('Delivery Log'!$E:$E,'Delivery Log'!$B:$B,$A265))</f>
        <v/>
      </c>
      <c r="P265" s="5" t="str">
        <f t="shared" si="8"/>
        <v/>
      </c>
      <c r="Q265" t="str">
        <f t="shared" si="9"/>
        <v/>
      </c>
    </row>
    <row r="266" spans="7:17">
      <c r="G266" s="5"/>
      <c r="H266" s="4"/>
      <c r="I266" s="4"/>
      <c r="K266" t="str">
        <f>IF($A266="","",IF($O266&gt;=$G266,"Delivered",IFERROR(LOOKUP(2,1/(WIPLog!$C$2:$C$1000=$A266),WIPLog!$F$2:$F$1000),"Not Started")))</f>
        <v/>
      </c>
      <c r="L266" s="5" t="str">
        <f>IF($A266="","",SUMIFS(WIPLog!$H:$H,WIPLog!$C:$C,$A266))</f>
        <v/>
      </c>
      <c r="M266" s="5" t="str">
        <f>IF($A266="","",SUMIFS(WIPLog!$I:$I,WIPLog!$C:$C,$A266))</f>
        <v/>
      </c>
      <c r="N266" s="5" t="str">
        <f>IF($A266="","",SUMIFS(WIPLog!$K:$K,WIPLog!$C:$C,$A266))</f>
        <v/>
      </c>
      <c r="O266" s="5" t="str">
        <f>IF($A266="","",SUMIFS('Delivery Log'!$E:$E,'Delivery Log'!$B:$B,$A266))</f>
        <v/>
      </c>
      <c r="P266" s="5" t="str">
        <f t="shared" si="8"/>
        <v/>
      </c>
      <c r="Q266" t="str">
        <f t="shared" si="9"/>
        <v/>
      </c>
    </row>
    <row r="267" spans="7:17">
      <c r="G267" s="5"/>
      <c r="H267" s="4"/>
      <c r="I267" s="4"/>
      <c r="K267" t="str">
        <f>IF($A267="","",IF($O267&gt;=$G267,"Delivered",IFERROR(LOOKUP(2,1/(WIPLog!$C$2:$C$1000=$A267),WIPLog!$F$2:$F$1000),"Not Started")))</f>
        <v/>
      </c>
      <c r="L267" s="5" t="str">
        <f>IF($A267="","",SUMIFS(WIPLog!$H:$H,WIPLog!$C:$C,$A267))</f>
        <v/>
      </c>
      <c r="M267" s="5" t="str">
        <f>IF($A267="","",SUMIFS(WIPLog!$I:$I,WIPLog!$C:$C,$A267))</f>
        <v/>
      </c>
      <c r="N267" s="5" t="str">
        <f>IF($A267="","",SUMIFS(WIPLog!$K:$K,WIPLog!$C:$C,$A267))</f>
        <v/>
      </c>
      <c r="O267" s="5" t="str">
        <f>IF($A267="","",SUMIFS('Delivery Log'!$E:$E,'Delivery Log'!$B:$B,$A267))</f>
        <v/>
      </c>
      <c r="P267" s="5" t="str">
        <f t="shared" si="8"/>
        <v/>
      </c>
      <c r="Q267" t="str">
        <f t="shared" si="9"/>
        <v/>
      </c>
    </row>
    <row r="268" spans="7:17">
      <c r="G268" s="5"/>
      <c r="H268" s="4"/>
      <c r="I268" s="4"/>
      <c r="K268" t="str">
        <f>IF($A268="","",IF($O268&gt;=$G268,"Delivered",IFERROR(LOOKUP(2,1/(WIPLog!$C$2:$C$1000=$A268),WIPLog!$F$2:$F$1000),"Not Started")))</f>
        <v/>
      </c>
      <c r="L268" s="5" t="str">
        <f>IF($A268="","",SUMIFS(WIPLog!$H:$H,WIPLog!$C:$C,$A268))</f>
        <v/>
      </c>
      <c r="M268" s="5" t="str">
        <f>IF($A268="","",SUMIFS(WIPLog!$I:$I,WIPLog!$C:$C,$A268))</f>
        <v/>
      </c>
      <c r="N268" s="5" t="str">
        <f>IF($A268="","",SUMIFS(WIPLog!$K:$K,WIPLog!$C:$C,$A268))</f>
        <v/>
      </c>
      <c r="O268" s="5" t="str">
        <f>IF($A268="","",SUMIFS('Delivery Log'!$E:$E,'Delivery Log'!$B:$B,$A268))</f>
        <v/>
      </c>
      <c r="P268" s="5" t="str">
        <f t="shared" si="8"/>
        <v/>
      </c>
      <c r="Q268" t="str">
        <f t="shared" si="9"/>
        <v/>
      </c>
    </row>
    <row r="269" spans="7:17">
      <c r="G269" s="5"/>
      <c r="H269" s="4"/>
      <c r="I269" s="4"/>
      <c r="K269" t="str">
        <f>IF($A269="","",IF($O269&gt;=$G269,"Delivered",IFERROR(LOOKUP(2,1/(WIPLog!$C$2:$C$1000=$A269),WIPLog!$F$2:$F$1000),"Not Started")))</f>
        <v/>
      </c>
      <c r="L269" s="5" t="str">
        <f>IF($A269="","",SUMIFS(WIPLog!$H:$H,WIPLog!$C:$C,$A269))</f>
        <v/>
      </c>
      <c r="M269" s="5" t="str">
        <f>IF($A269="","",SUMIFS(WIPLog!$I:$I,WIPLog!$C:$C,$A269))</f>
        <v/>
      </c>
      <c r="N269" s="5" t="str">
        <f>IF($A269="","",SUMIFS(WIPLog!$K:$K,WIPLog!$C:$C,$A269))</f>
        <v/>
      </c>
      <c r="O269" s="5" t="str">
        <f>IF($A269="","",SUMIFS('Delivery Log'!$E:$E,'Delivery Log'!$B:$B,$A269))</f>
        <v/>
      </c>
      <c r="P269" s="5" t="str">
        <f t="shared" si="8"/>
        <v/>
      </c>
      <c r="Q269" t="str">
        <f t="shared" si="9"/>
        <v/>
      </c>
    </row>
    <row r="270" spans="7:17">
      <c r="G270" s="5"/>
      <c r="H270" s="4"/>
      <c r="I270" s="4"/>
      <c r="K270" t="str">
        <f>IF($A270="","",IF($O270&gt;=$G270,"Delivered",IFERROR(LOOKUP(2,1/(WIPLog!$C$2:$C$1000=$A270),WIPLog!$F$2:$F$1000),"Not Started")))</f>
        <v/>
      </c>
      <c r="L270" s="5" t="str">
        <f>IF($A270="","",SUMIFS(WIPLog!$H:$H,WIPLog!$C:$C,$A270))</f>
        <v/>
      </c>
      <c r="M270" s="5" t="str">
        <f>IF($A270="","",SUMIFS(WIPLog!$I:$I,WIPLog!$C:$C,$A270))</f>
        <v/>
      </c>
      <c r="N270" s="5" t="str">
        <f>IF($A270="","",SUMIFS(WIPLog!$K:$K,WIPLog!$C:$C,$A270))</f>
        <v/>
      </c>
      <c r="O270" s="5" t="str">
        <f>IF($A270="","",SUMIFS('Delivery Log'!$E:$E,'Delivery Log'!$B:$B,$A270))</f>
        <v/>
      </c>
      <c r="P270" s="5" t="str">
        <f t="shared" si="8"/>
        <v/>
      </c>
      <c r="Q270" t="str">
        <f t="shared" si="9"/>
        <v/>
      </c>
    </row>
    <row r="271" spans="7:17">
      <c r="G271" s="5"/>
      <c r="H271" s="4"/>
      <c r="I271" s="4"/>
      <c r="K271" t="str">
        <f>IF($A271="","",IF($O271&gt;=$G271,"Delivered",IFERROR(LOOKUP(2,1/(WIPLog!$C$2:$C$1000=$A271),WIPLog!$F$2:$F$1000),"Not Started")))</f>
        <v/>
      </c>
      <c r="L271" s="5" t="str">
        <f>IF($A271="","",SUMIFS(WIPLog!$H:$H,WIPLog!$C:$C,$A271))</f>
        <v/>
      </c>
      <c r="M271" s="5" t="str">
        <f>IF($A271="","",SUMIFS(WIPLog!$I:$I,WIPLog!$C:$C,$A271))</f>
        <v/>
      </c>
      <c r="N271" s="5" t="str">
        <f>IF($A271="","",SUMIFS(WIPLog!$K:$K,WIPLog!$C:$C,$A271))</f>
        <v/>
      </c>
      <c r="O271" s="5" t="str">
        <f>IF($A271="","",SUMIFS('Delivery Log'!$E:$E,'Delivery Log'!$B:$B,$A271))</f>
        <v/>
      </c>
      <c r="P271" s="5" t="str">
        <f t="shared" si="8"/>
        <v/>
      </c>
      <c r="Q271" t="str">
        <f t="shared" si="9"/>
        <v/>
      </c>
    </row>
    <row r="272" spans="7:17">
      <c r="G272" s="5"/>
      <c r="H272" s="4"/>
      <c r="I272" s="4"/>
      <c r="K272" t="str">
        <f>IF($A272="","",IF($O272&gt;=$G272,"Delivered",IFERROR(LOOKUP(2,1/(WIPLog!$C$2:$C$1000=$A272),WIPLog!$F$2:$F$1000),"Not Started")))</f>
        <v/>
      </c>
      <c r="L272" s="5" t="str">
        <f>IF($A272="","",SUMIFS(WIPLog!$H:$H,WIPLog!$C:$C,$A272))</f>
        <v/>
      </c>
      <c r="M272" s="5" t="str">
        <f>IF($A272="","",SUMIFS(WIPLog!$I:$I,WIPLog!$C:$C,$A272))</f>
        <v/>
      </c>
      <c r="N272" s="5" t="str">
        <f>IF($A272="","",SUMIFS(WIPLog!$K:$K,WIPLog!$C:$C,$A272))</f>
        <v/>
      </c>
      <c r="O272" s="5" t="str">
        <f>IF($A272="","",SUMIFS('Delivery Log'!$E:$E,'Delivery Log'!$B:$B,$A272))</f>
        <v/>
      </c>
      <c r="P272" s="5" t="str">
        <f t="shared" si="8"/>
        <v/>
      </c>
      <c r="Q272" t="str">
        <f t="shared" si="9"/>
        <v/>
      </c>
    </row>
    <row r="273" spans="7:17">
      <c r="G273" s="5"/>
      <c r="H273" s="4"/>
      <c r="I273" s="4"/>
      <c r="K273" t="str">
        <f>IF($A273="","",IF($O273&gt;=$G273,"Delivered",IFERROR(LOOKUP(2,1/(WIPLog!$C$2:$C$1000=$A273),WIPLog!$F$2:$F$1000),"Not Started")))</f>
        <v/>
      </c>
      <c r="L273" s="5" t="str">
        <f>IF($A273="","",SUMIFS(WIPLog!$H:$H,WIPLog!$C:$C,$A273))</f>
        <v/>
      </c>
      <c r="M273" s="5" t="str">
        <f>IF($A273="","",SUMIFS(WIPLog!$I:$I,WIPLog!$C:$C,$A273))</f>
        <v/>
      </c>
      <c r="N273" s="5" t="str">
        <f>IF($A273="","",SUMIFS(WIPLog!$K:$K,WIPLog!$C:$C,$A273))</f>
        <v/>
      </c>
      <c r="O273" s="5" t="str">
        <f>IF($A273="","",SUMIFS('Delivery Log'!$E:$E,'Delivery Log'!$B:$B,$A273))</f>
        <v/>
      </c>
      <c r="P273" s="5" t="str">
        <f t="shared" si="8"/>
        <v/>
      </c>
      <c r="Q273" t="str">
        <f t="shared" si="9"/>
        <v/>
      </c>
    </row>
    <row r="274" spans="7:17">
      <c r="G274" s="5"/>
      <c r="H274" s="4"/>
      <c r="I274" s="4"/>
      <c r="K274" t="str">
        <f>IF($A274="","",IF($O274&gt;=$G274,"Delivered",IFERROR(LOOKUP(2,1/(WIPLog!$C$2:$C$1000=$A274),WIPLog!$F$2:$F$1000),"Not Started")))</f>
        <v/>
      </c>
      <c r="L274" s="5" t="str">
        <f>IF($A274="","",SUMIFS(WIPLog!$H:$H,WIPLog!$C:$C,$A274))</f>
        <v/>
      </c>
      <c r="M274" s="5" t="str">
        <f>IF($A274="","",SUMIFS(WIPLog!$I:$I,WIPLog!$C:$C,$A274))</f>
        <v/>
      </c>
      <c r="N274" s="5" t="str">
        <f>IF($A274="","",SUMIFS(WIPLog!$K:$K,WIPLog!$C:$C,$A274))</f>
        <v/>
      </c>
      <c r="O274" s="5" t="str">
        <f>IF($A274="","",SUMIFS('Delivery Log'!$E:$E,'Delivery Log'!$B:$B,$A274))</f>
        <v/>
      </c>
      <c r="P274" s="5" t="str">
        <f t="shared" si="8"/>
        <v/>
      </c>
      <c r="Q274" t="str">
        <f t="shared" si="9"/>
        <v/>
      </c>
    </row>
    <row r="275" spans="7:17">
      <c r="G275" s="5"/>
      <c r="H275" s="4"/>
      <c r="I275" s="4"/>
      <c r="K275" t="str">
        <f>IF($A275="","",IF($O275&gt;=$G275,"Delivered",IFERROR(LOOKUP(2,1/(WIPLog!$C$2:$C$1000=$A275),WIPLog!$F$2:$F$1000),"Not Started")))</f>
        <v/>
      </c>
      <c r="L275" s="5" t="str">
        <f>IF($A275="","",SUMIFS(WIPLog!$H:$H,WIPLog!$C:$C,$A275))</f>
        <v/>
      </c>
      <c r="M275" s="5" t="str">
        <f>IF($A275="","",SUMIFS(WIPLog!$I:$I,WIPLog!$C:$C,$A275))</f>
        <v/>
      </c>
      <c r="N275" s="5" t="str">
        <f>IF($A275="","",SUMIFS(WIPLog!$K:$K,WIPLog!$C:$C,$A275))</f>
        <v/>
      </c>
      <c r="O275" s="5" t="str">
        <f>IF($A275="","",SUMIFS('Delivery Log'!$E:$E,'Delivery Log'!$B:$B,$A275))</f>
        <v/>
      </c>
      <c r="P275" s="5" t="str">
        <f t="shared" si="8"/>
        <v/>
      </c>
      <c r="Q275" t="str">
        <f t="shared" si="9"/>
        <v/>
      </c>
    </row>
    <row r="276" spans="7:17">
      <c r="G276" s="5"/>
      <c r="H276" s="4"/>
      <c r="I276" s="4"/>
      <c r="K276" t="str">
        <f>IF($A276="","",IF($O276&gt;=$G276,"Delivered",IFERROR(LOOKUP(2,1/(WIPLog!$C$2:$C$1000=$A276),WIPLog!$F$2:$F$1000),"Not Started")))</f>
        <v/>
      </c>
      <c r="L276" s="5" t="str">
        <f>IF($A276="","",SUMIFS(WIPLog!$H:$H,WIPLog!$C:$C,$A276))</f>
        <v/>
      </c>
      <c r="M276" s="5" t="str">
        <f>IF($A276="","",SUMIFS(WIPLog!$I:$I,WIPLog!$C:$C,$A276))</f>
        <v/>
      </c>
      <c r="N276" s="5" t="str">
        <f>IF($A276="","",SUMIFS(WIPLog!$K:$K,WIPLog!$C:$C,$A276))</f>
        <v/>
      </c>
      <c r="O276" s="5" t="str">
        <f>IF($A276="","",SUMIFS('Delivery Log'!$E:$E,'Delivery Log'!$B:$B,$A276))</f>
        <v/>
      </c>
      <c r="P276" s="5" t="str">
        <f t="shared" si="8"/>
        <v/>
      </c>
      <c r="Q276" t="str">
        <f t="shared" si="9"/>
        <v/>
      </c>
    </row>
    <row r="277" spans="7:17">
      <c r="G277" s="5"/>
      <c r="H277" s="4"/>
      <c r="I277" s="4"/>
      <c r="K277" t="str">
        <f>IF($A277="","",IF($O277&gt;=$G277,"Delivered",IFERROR(LOOKUP(2,1/(WIPLog!$C$2:$C$1000=$A277),WIPLog!$F$2:$F$1000),"Not Started")))</f>
        <v/>
      </c>
      <c r="L277" s="5" t="str">
        <f>IF($A277="","",SUMIFS(WIPLog!$H:$H,WIPLog!$C:$C,$A277))</f>
        <v/>
      </c>
      <c r="M277" s="5" t="str">
        <f>IF($A277="","",SUMIFS(WIPLog!$I:$I,WIPLog!$C:$C,$A277))</f>
        <v/>
      </c>
      <c r="N277" s="5" t="str">
        <f>IF($A277="","",SUMIFS(WIPLog!$K:$K,WIPLog!$C:$C,$A277))</f>
        <v/>
      </c>
      <c r="O277" s="5" t="str">
        <f>IF($A277="","",SUMIFS('Delivery Log'!$E:$E,'Delivery Log'!$B:$B,$A277))</f>
        <v/>
      </c>
      <c r="P277" s="5" t="str">
        <f t="shared" si="8"/>
        <v/>
      </c>
      <c r="Q277" t="str">
        <f t="shared" si="9"/>
        <v/>
      </c>
    </row>
    <row r="278" spans="7:17">
      <c r="G278" s="5"/>
      <c r="H278" s="4"/>
      <c r="I278" s="4"/>
      <c r="K278" t="str">
        <f>IF($A278="","",IF($O278&gt;=$G278,"Delivered",IFERROR(LOOKUP(2,1/(WIPLog!$C$2:$C$1000=$A278),WIPLog!$F$2:$F$1000),"Not Started")))</f>
        <v/>
      </c>
      <c r="L278" s="5" t="str">
        <f>IF($A278="","",SUMIFS(WIPLog!$H:$H,WIPLog!$C:$C,$A278))</f>
        <v/>
      </c>
      <c r="M278" s="5" t="str">
        <f>IF($A278="","",SUMIFS(WIPLog!$I:$I,WIPLog!$C:$C,$A278))</f>
        <v/>
      </c>
      <c r="N278" s="5" t="str">
        <f>IF($A278="","",SUMIFS(WIPLog!$K:$K,WIPLog!$C:$C,$A278))</f>
        <v/>
      </c>
      <c r="O278" s="5" t="str">
        <f>IF($A278="","",SUMIFS('Delivery Log'!$E:$E,'Delivery Log'!$B:$B,$A278))</f>
        <v/>
      </c>
      <c r="P278" s="5" t="str">
        <f t="shared" si="8"/>
        <v/>
      </c>
      <c r="Q278" t="str">
        <f t="shared" si="9"/>
        <v/>
      </c>
    </row>
    <row r="279" spans="7:17">
      <c r="G279" s="5"/>
      <c r="H279" s="4"/>
      <c r="I279" s="4"/>
      <c r="K279" t="str">
        <f>IF($A279="","",IF($O279&gt;=$G279,"Delivered",IFERROR(LOOKUP(2,1/(WIPLog!$C$2:$C$1000=$A279),WIPLog!$F$2:$F$1000),"Not Started")))</f>
        <v/>
      </c>
      <c r="L279" s="5" t="str">
        <f>IF($A279="","",SUMIFS(WIPLog!$H:$H,WIPLog!$C:$C,$A279))</f>
        <v/>
      </c>
      <c r="M279" s="5" t="str">
        <f>IF($A279="","",SUMIFS(WIPLog!$I:$I,WIPLog!$C:$C,$A279))</f>
        <v/>
      </c>
      <c r="N279" s="5" t="str">
        <f>IF($A279="","",SUMIFS(WIPLog!$K:$K,WIPLog!$C:$C,$A279))</f>
        <v/>
      </c>
      <c r="O279" s="5" t="str">
        <f>IF($A279="","",SUMIFS('Delivery Log'!$E:$E,'Delivery Log'!$B:$B,$A279))</f>
        <v/>
      </c>
      <c r="P279" s="5" t="str">
        <f t="shared" si="8"/>
        <v/>
      </c>
      <c r="Q279" t="str">
        <f t="shared" si="9"/>
        <v/>
      </c>
    </row>
    <row r="280" spans="7:17">
      <c r="G280" s="5"/>
      <c r="H280" s="4"/>
      <c r="I280" s="4"/>
      <c r="K280" t="str">
        <f>IF($A280="","",IF($O280&gt;=$G280,"Delivered",IFERROR(LOOKUP(2,1/(WIPLog!$C$2:$C$1000=$A280),WIPLog!$F$2:$F$1000),"Not Started")))</f>
        <v/>
      </c>
      <c r="L280" s="5" t="str">
        <f>IF($A280="","",SUMIFS(WIPLog!$H:$H,WIPLog!$C:$C,$A280))</f>
        <v/>
      </c>
      <c r="M280" s="5" t="str">
        <f>IF($A280="","",SUMIFS(WIPLog!$I:$I,WIPLog!$C:$C,$A280))</f>
        <v/>
      </c>
      <c r="N280" s="5" t="str">
        <f>IF($A280="","",SUMIFS(WIPLog!$K:$K,WIPLog!$C:$C,$A280))</f>
        <v/>
      </c>
      <c r="O280" s="5" t="str">
        <f>IF($A280="","",SUMIFS('Delivery Log'!$E:$E,'Delivery Log'!$B:$B,$A280))</f>
        <v/>
      </c>
      <c r="P280" s="5" t="str">
        <f t="shared" si="8"/>
        <v/>
      </c>
      <c r="Q280" t="str">
        <f t="shared" si="9"/>
        <v/>
      </c>
    </row>
    <row r="281" spans="7:17">
      <c r="G281" s="5"/>
      <c r="H281" s="4"/>
      <c r="I281" s="4"/>
      <c r="K281" t="str">
        <f>IF($A281="","",IF($O281&gt;=$G281,"Delivered",IFERROR(LOOKUP(2,1/(WIPLog!$C$2:$C$1000=$A281),WIPLog!$F$2:$F$1000),"Not Started")))</f>
        <v/>
      </c>
      <c r="L281" s="5" t="str">
        <f>IF($A281="","",SUMIFS(WIPLog!$H:$H,WIPLog!$C:$C,$A281))</f>
        <v/>
      </c>
      <c r="M281" s="5" t="str">
        <f>IF($A281="","",SUMIFS(WIPLog!$I:$I,WIPLog!$C:$C,$A281))</f>
        <v/>
      </c>
      <c r="N281" s="5" t="str">
        <f>IF($A281="","",SUMIFS(WIPLog!$K:$K,WIPLog!$C:$C,$A281))</f>
        <v/>
      </c>
      <c r="O281" s="5" t="str">
        <f>IF($A281="","",SUMIFS('Delivery Log'!$E:$E,'Delivery Log'!$B:$B,$A281))</f>
        <v/>
      </c>
      <c r="P281" s="5" t="str">
        <f t="shared" si="8"/>
        <v/>
      </c>
      <c r="Q281" t="str">
        <f t="shared" si="9"/>
        <v/>
      </c>
    </row>
    <row r="282" spans="7:17">
      <c r="G282" s="5"/>
      <c r="H282" s="4"/>
      <c r="I282" s="4"/>
      <c r="K282" t="str">
        <f>IF($A282="","",IF($O282&gt;=$G282,"Delivered",IFERROR(LOOKUP(2,1/(WIPLog!$C$2:$C$1000=$A282),WIPLog!$F$2:$F$1000),"Not Started")))</f>
        <v/>
      </c>
      <c r="L282" s="5" t="str">
        <f>IF($A282="","",SUMIFS(WIPLog!$H:$H,WIPLog!$C:$C,$A282))</f>
        <v/>
      </c>
      <c r="M282" s="5" t="str">
        <f>IF($A282="","",SUMIFS(WIPLog!$I:$I,WIPLog!$C:$C,$A282))</f>
        <v/>
      </c>
      <c r="N282" s="5" t="str">
        <f>IF($A282="","",SUMIFS(WIPLog!$K:$K,WIPLog!$C:$C,$A282))</f>
        <v/>
      </c>
      <c r="O282" s="5" t="str">
        <f>IF($A282="","",SUMIFS('Delivery Log'!$E:$E,'Delivery Log'!$B:$B,$A282))</f>
        <v/>
      </c>
      <c r="P282" s="5" t="str">
        <f t="shared" si="8"/>
        <v/>
      </c>
      <c r="Q282" t="str">
        <f t="shared" si="9"/>
        <v/>
      </c>
    </row>
    <row r="283" spans="7:17">
      <c r="G283" s="5"/>
      <c r="H283" s="4"/>
      <c r="I283" s="4"/>
      <c r="K283" t="str">
        <f>IF($A283="","",IF($O283&gt;=$G283,"Delivered",IFERROR(LOOKUP(2,1/(WIPLog!$C$2:$C$1000=$A283),WIPLog!$F$2:$F$1000),"Not Started")))</f>
        <v/>
      </c>
      <c r="L283" s="5" t="str">
        <f>IF($A283="","",SUMIFS(WIPLog!$H:$H,WIPLog!$C:$C,$A283))</f>
        <v/>
      </c>
      <c r="M283" s="5" t="str">
        <f>IF($A283="","",SUMIFS(WIPLog!$I:$I,WIPLog!$C:$C,$A283))</f>
        <v/>
      </c>
      <c r="N283" s="5" t="str">
        <f>IF($A283="","",SUMIFS(WIPLog!$K:$K,WIPLog!$C:$C,$A283))</f>
        <v/>
      </c>
      <c r="O283" s="5" t="str">
        <f>IF($A283="","",SUMIFS('Delivery Log'!$E:$E,'Delivery Log'!$B:$B,$A283))</f>
        <v/>
      </c>
      <c r="P283" s="5" t="str">
        <f t="shared" si="8"/>
        <v/>
      </c>
      <c r="Q283" t="str">
        <f t="shared" si="9"/>
        <v/>
      </c>
    </row>
    <row r="284" spans="7:17">
      <c r="G284" s="5"/>
      <c r="H284" s="4"/>
      <c r="I284" s="4"/>
      <c r="K284" t="str">
        <f>IF($A284="","",IF($O284&gt;=$G284,"Delivered",IFERROR(LOOKUP(2,1/(WIPLog!$C$2:$C$1000=$A284),WIPLog!$F$2:$F$1000),"Not Started")))</f>
        <v/>
      </c>
      <c r="L284" s="5" t="str">
        <f>IF($A284="","",SUMIFS(WIPLog!$H:$H,WIPLog!$C:$C,$A284))</f>
        <v/>
      </c>
      <c r="M284" s="5" t="str">
        <f>IF($A284="","",SUMIFS(WIPLog!$I:$I,WIPLog!$C:$C,$A284))</f>
        <v/>
      </c>
      <c r="N284" s="5" t="str">
        <f>IF($A284="","",SUMIFS(WIPLog!$K:$K,WIPLog!$C:$C,$A284))</f>
        <v/>
      </c>
      <c r="O284" s="5" t="str">
        <f>IF($A284="","",SUMIFS('Delivery Log'!$E:$E,'Delivery Log'!$B:$B,$A284))</f>
        <v/>
      </c>
      <c r="P284" s="5" t="str">
        <f t="shared" si="8"/>
        <v/>
      </c>
      <c r="Q284" t="str">
        <f t="shared" si="9"/>
        <v/>
      </c>
    </row>
    <row r="285" spans="7:17">
      <c r="G285" s="5"/>
      <c r="H285" s="4"/>
      <c r="I285" s="4"/>
      <c r="K285" t="str">
        <f>IF($A285="","",IF($O285&gt;=$G285,"Delivered",IFERROR(LOOKUP(2,1/(WIPLog!$C$2:$C$1000=$A285),WIPLog!$F$2:$F$1000),"Not Started")))</f>
        <v/>
      </c>
      <c r="L285" s="5" t="str">
        <f>IF($A285="","",SUMIFS(WIPLog!$H:$H,WIPLog!$C:$C,$A285))</f>
        <v/>
      </c>
      <c r="M285" s="5" t="str">
        <f>IF($A285="","",SUMIFS(WIPLog!$I:$I,WIPLog!$C:$C,$A285))</f>
        <v/>
      </c>
      <c r="N285" s="5" t="str">
        <f>IF($A285="","",SUMIFS(WIPLog!$K:$K,WIPLog!$C:$C,$A285))</f>
        <v/>
      </c>
      <c r="O285" s="5" t="str">
        <f>IF($A285="","",SUMIFS('Delivery Log'!$E:$E,'Delivery Log'!$B:$B,$A285))</f>
        <v/>
      </c>
      <c r="P285" s="5" t="str">
        <f t="shared" si="8"/>
        <v/>
      </c>
      <c r="Q285" t="str">
        <f t="shared" si="9"/>
        <v/>
      </c>
    </row>
    <row r="286" spans="7:17">
      <c r="G286" s="5"/>
      <c r="H286" s="4"/>
      <c r="I286" s="4"/>
      <c r="K286" t="str">
        <f>IF($A286="","",IF($O286&gt;=$G286,"Delivered",IFERROR(LOOKUP(2,1/(WIPLog!$C$2:$C$1000=$A286),WIPLog!$F$2:$F$1000),"Not Started")))</f>
        <v/>
      </c>
      <c r="L286" s="5" t="str">
        <f>IF($A286="","",SUMIFS(WIPLog!$H:$H,WIPLog!$C:$C,$A286))</f>
        <v/>
      </c>
      <c r="M286" s="5" t="str">
        <f>IF($A286="","",SUMIFS(WIPLog!$I:$I,WIPLog!$C:$C,$A286))</f>
        <v/>
      </c>
      <c r="N286" s="5" t="str">
        <f>IF($A286="","",SUMIFS(WIPLog!$K:$K,WIPLog!$C:$C,$A286))</f>
        <v/>
      </c>
      <c r="O286" s="5" t="str">
        <f>IF($A286="","",SUMIFS('Delivery Log'!$E:$E,'Delivery Log'!$B:$B,$A286))</f>
        <v/>
      </c>
      <c r="P286" s="5" t="str">
        <f t="shared" si="8"/>
        <v/>
      </c>
      <c r="Q286" t="str">
        <f t="shared" si="9"/>
        <v/>
      </c>
    </row>
    <row r="287" spans="7:17">
      <c r="G287" s="5"/>
      <c r="H287" s="4"/>
      <c r="I287" s="4"/>
      <c r="K287" t="str">
        <f>IF($A287="","",IF($O287&gt;=$G287,"Delivered",IFERROR(LOOKUP(2,1/(WIPLog!$C$2:$C$1000=$A287),WIPLog!$F$2:$F$1000),"Not Started")))</f>
        <v/>
      </c>
      <c r="L287" s="5" t="str">
        <f>IF($A287="","",SUMIFS(WIPLog!$H:$H,WIPLog!$C:$C,$A287))</f>
        <v/>
      </c>
      <c r="M287" s="5" t="str">
        <f>IF($A287="","",SUMIFS(WIPLog!$I:$I,WIPLog!$C:$C,$A287))</f>
        <v/>
      </c>
      <c r="N287" s="5" t="str">
        <f>IF($A287="","",SUMIFS(WIPLog!$K:$K,WIPLog!$C:$C,$A287))</f>
        <v/>
      </c>
      <c r="O287" s="5" t="str">
        <f>IF($A287="","",SUMIFS('Delivery Log'!$E:$E,'Delivery Log'!$B:$B,$A287))</f>
        <v/>
      </c>
      <c r="P287" s="5" t="str">
        <f t="shared" si="8"/>
        <v/>
      </c>
      <c r="Q287" t="str">
        <f t="shared" si="9"/>
        <v/>
      </c>
    </row>
    <row r="288" spans="7:17">
      <c r="G288" s="5"/>
      <c r="H288" s="4"/>
      <c r="I288" s="4"/>
      <c r="K288" t="str">
        <f>IF($A288="","",IF($O288&gt;=$G288,"Delivered",IFERROR(LOOKUP(2,1/(WIPLog!$C$2:$C$1000=$A288),WIPLog!$F$2:$F$1000),"Not Started")))</f>
        <v/>
      </c>
      <c r="L288" s="5" t="str">
        <f>IF($A288="","",SUMIFS(WIPLog!$H:$H,WIPLog!$C:$C,$A288))</f>
        <v/>
      </c>
      <c r="M288" s="5" t="str">
        <f>IF($A288="","",SUMIFS(WIPLog!$I:$I,WIPLog!$C:$C,$A288))</f>
        <v/>
      </c>
      <c r="N288" s="5" t="str">
        <f>IF($A288="","",SUMIFS(WIPLog!$K:$K,WIPLog!$C:$C,$A288))</f>
        <v/>
      </c>
      <c r="O288" s="5" t="str">
        <f>IF($A288="","",SUMIFS('Delivery Log'!$E:$E,'Delivery Log'!$B:$B,$A288))</f>
        <v/>
      </c>
      <c r="P288" s="5" t="str">
        <f t="shared" si="8"/>
        <v/>
      </c>
      <c r="Q288" t="str">
        <f t="shared" si="9"/>
        <v/>
      </c>
    </row>
    <row r="289" spans="7:17">
      <c r="G289" s="5"/>
      <c r="H289" s="4"/>
      <c r="I289" s="4"/>
      <c r="K289" t="str">
        <f>IF($A289="","",IF($O289&gt;=$G289,"Delivered",IFERROR(LOOKUP(2,1/(WIPLog!$C$2:$C$1000=$A289),WIPLog!$F$2:$F$1000),"Not Started")))</f>
        <v/>
      </c>
      <c r="L289" s="5" t="str">
        <f>IF($A289="","",SUMIFS(WIPLog!$H:$H,WIPLog!$C:$C,$A289))</f>
        <v/>
      </c>
      <c r="M289" s="5" t="str">
        <f>IF($A289="","",SUMIFS(WIPLog!$I:$I,WIPLog!$C:$C,$A289))</f>
        <v/>
      </c>
      <c r="N289" s="5" t="str">
        <f>IF($A289="","",SUMIFS(WIPLog!$K:$K,WIPLog!$C:$C,$A289))</f>
        <v/>
      </c>
      <c r="O289" s="5" t="str">
        <f>IF($A289="","",SUMIFS('Delivery Log'!$E:$E,'Delivery Log'!$B:$B,$A289))</f>
        <v/>
      </c>
      <c r="P289" s="5" t="str">
        <f t="shared" si="8"/>
        <v/>
      </c>
      <c r="Q289" t="str">
        <f t="shared" si="9"/>
        <v/>
      </c>
    </row>
    <row r="290" spans="7:17">
      <c r="G290" s="5"/>
      <c r="H290" s="4"/>
      <c r="I290" s="4"/>
      <c r="K290" t="str">
        <f>IF($A290="","",IF($O290&gt;=$G290,"Delivered",IFERROR(LOOKUP(2,1/(WIPLog!$C$2:$C$1000=$A290),WIPLog!$F$2:$F$1000),"Not Started")))</f>
        <v/>
      </c>
      <c r="L290" s="5" t="str">
        <f>IF($A290="","",SUMIFS(WIPLog!$H:$H,WIPLog!$C:$C,$A290))</f>
        <v/>
      </c>
      <c r="M290" s="5" t="str">
        <f>IF($A290="","",SUMIFS(WIPLog!$I:$I,WIPLog!$C:$C,$A290))</f>
        <v/>
      </c>
      <c r="N290" s="5" t="str">
        <f>IF($A290="","",SUMIFS(WIPLog!$K:$K,WIPLog!$C:$C,$A290))</f>
        <v/>
      </c>
      <c r="O290" s="5" t="str">
        <f>IF($A290="","",SUMIFS('Delivery Log'!$E:$E,'Delivery Log'!$B:$B,$A290))</f>
        <v/>
      </c>
      <c r="P290" s="5" t="str">
        <f t="shared" si="8"/>
        <v/>
      </c>
      <c r="Q290" t="str">
        <f t="shared" si="9"/>
        <v/>
      </c>
    </row>
    <row r="291" spans="7:17">
      <c r="G291" s="5"/>
      <c r="H291" s="4"/>
      <c r="I291" s="4"/>
      <c r="K291" t="str">
        <f>IF($A291="","",IF($O291&gt;=$G291,"Delivered",IFERROR(LOOKUP(2,1/(WIPLog!$C$2:$C$1000=$A291),WIPLog!$F$2:$F$1000),"Not Started")))</f>
        <v/>
      </c>
      <c r="L291" s="5" t="str">
        <f>IF($A291="","",SUMIFS(WIPLog!$H:$H,WIPLog!$C:$C,$A291))</f>
        <v/>
      </c>
      <c r="M291" s="5" t="str">
        <f>IF($A291="","",SUMIFS(WIPLog!$I:$I,WIPLog!$C:$C,$A291))</f>
        <v/>
      </c>
      <c r="N291" s="5" t="str">
        <f>IF($A291="","",SUMIFS(WIPLog!$K:$K,WIPLog!$C:$C,$A291))</f>
        <v/>
      </c>
      <c r="O291" s="5" t="str">
        <f>IF($A291="","",SUMIFS('Delivery Log'!$E:$E,'Delivery Log'!$B:$B,$A291))</f>
        <v/>
      </c>
      <c r="P291" s="5" t="str">
        <f t="shared" si="8"/>
        <v/>
      </c>
      <c r="Q291" t="str">
        <f t="shared" si="9"/>
        <v/>
      </c>
    </row>
    <row r="292" spans="7:17">
      <c r="G292" s="5"/>
      <c r="H292" s="4"/>
      <c r="I292" s="4"/>
      <c r="K292" t="str">
        <f>IF($A292="","",IF($O292&gt;=$G292,"Delivered",IFERROR(LOOKUP(2,1/(WIPLog!$C$2:$C$1000=$A292),WIPLog!$F$2:$F$1000),"Not Started")))</f>
        <v/>
      </c>
      <c r="L292" s="5" t="str">
        <f>IF($A292="","",SUMIFS(WIPLog!$H:$H,WIPLog!$C:$C,$A292))</f>
        <v/>
      </c>
      <c r="M292" s="5" t="str">
        <f>IF($A292="","",SUMIFS(WIPLog!$I:$I,WIPLog!$C:$C,$A292))</f>
        <v/>
      </c>
      <c r="N292" s="5" t="str">
        <f>IF($A292="","",SUMIFS(WIPLog!$K:$K,WIPLog!$C:$C,$A292))</f>
        <v/>
      </c>
      <c r="O292" s="5" t="str">
        <f>IF($A292="","",SUMIFS('Delivery Log'!$E:$E,'Delivery Log'!$B:$B,$A292))</f>
        <v/>
      </c>
      <c r="P292" s="5" t="str">
        <f t="shared" si="8"/>
        <v/>
      </c>
      <c r="Q292" t="str">
        <f t="shared" si="9"/>
        <v/>
      </c>
    </row>
    <row r="293" spans="7:17">
      <c r="G293" s="5"/>
      <c r="H293" s="4"/>
      <c r="I293" s="4"/>
      <c r="K293" t="str">
        <f>IF($A293="","",IF($O293&gt;=$G293,"Delivered",IFERROR(LOOKUP(2,1/(WIPLog!$C$2:$C$1000=$A293),WIPLog!$F$2:$F$1000),"Not Started")))</f>
        <v/>
      </c>
      <c r="L293" s="5" t="str">
        <f>IF($A293="","",SUMIFS(WIPLog!$H:$H,WIPLog!$C:$C,$A293))</f>
        <v/>
      </c>
      <c r="M293" s="5" t="str">
        <f>IF($A293="","",SUMIFS(WIPLog!$I:$I,WIPLog!$C:$C,$A293))</f>
        <v/>
      </c>
      <c r="N293" s="5" t="str">
        <f>IF($A293="","",SUMIFS(WIPLog!$K:$K,WIPLog!$C:$C,$A293))</f>
        <v/>
      </c>
      <c r="O293" s="5" t="str">
        <f>IF($A293="","",SUMIFS('Delivery Log'!$E:$E,'Delivery Log'!$B:$B,$A293))</f>
        <v/>
      </c>
      <c r="P293" s="5" t="str">
        <f t="shared" si="8"/>
        <v/>
      </c>
      <c r="Q293" t="str">
        <f t="shared" si="9"/>
        <v/>
      </c>
    </row>
    <row r="294" spans="7:17">
      <c r="G294" s="5"/>
      <c r="H294" s="4"/>
      <c r="I294" s="4"/>
      <c r="K294" t="str">
        <f>IF($A294="","",IF($O294&gt;=$G294,"Delivered",IFERROR(LOOKUP(2,1/(WIPLog!$C$2:$C$1000=$A294),WIPLog!$F$2:$F$1000),"Not Started")))</f>
        <v/>
      </c>
      <c r="L294" s="5" t="str">
        <f>IF($A294="","",SUMIFS(WIPLog!$H:$H,WIPLog!$C:$C,$A294))</f>
        <v/>
      </c>
      <c r="M294" s="5" t="str">
        <f>IF($A294="","",SUMIFS(WIPLog!$I:$I,WIPLog!$C:$C,$A294))</f>
        <v/>
      </c>
      <c r="N294" s="5" t="str">
        <f>IF($A294="","",SUMIFS(WIPLog!$K:$K,WIPLog!$C:$C,$A294))</f>
        <v/>
      </c>
      <c r="O294" s="5" t="str">
        <f>IF($A294="","",SUMIFS('Delivery Log'!$E:$E,'Delivery Log'!$B:$B,$A294))</f>
        <v/>
      </c>
      <c r="P294" s="5" t="str">
        <f t="shared" si="8"/>
        <v/>
      </c>
      <c r="Q294" t="str">
        <f t="shared" si="9"/>
        <v/>
      </c>
    </row>
    <row r="295" spans="7:17">
      <c r="G295" s="5"/>
      <c r="H295" s="4"/>
      <c r="I295" s="4"/>
      <c r="K295" t="str">
        <f>IF($A295="","",IF($O295&gt;=$G295,"Delivered",IFERROR(LOOKUP(2,1/(WIPLog!$C$2:$C$1000=$A295),WIPLog!$F$2:$F$1000),"Not Started")))</f>
        <v/>
      </c>
      <c r="L295" s="5" t="str">
        <f>IF($A295="","",SUMIFS(WIPLog!$H:$H,WIPLog!$C:$C,$A295))</f>
        <v/>
      </c>
      <c r="M295" s="5" t="str">
        <f>IF($A295="","",SUMIFS(WIPLog!$I:$I,WIPLog!$C:$C,$A295))</f>
        <v/>
      </c>
      <c r="N295" s="5" t="str">
        <f>IF($A295="","",SUMIFS(WIPLog!$K:$K,WIPLog!$C:$C,$A295))</f>
        <v/>
      </c>
      <c r="O295" s="5" t="str">
        <f>IF($A295="","",SUMIFS('Delivery Log'!$E:$E,'Delivery Log'!$B:$B,$A295))</f>
        <v/>
      </c>
      <c r="P295" s="5" t="str">
        <f t="shared" si="8"/>
        <v/>
      </c>
      <c r="Q295" t="str">
        <f t="shared" si="9"/>
        <v/>
      </c>
    </row>
    <row r="296" spans="7:17">
      <c r="G296" s="5"/>
      <c r="H296" s="4"/>
      <c r="I296" s="4"/>
      <c r="K296" t="str">
        <f>IF($A296="","",IF($O296&gt;=$G296,"Delivered",IFERROR(LOOKUP(2,1/(WIPLog!$C$2:$C$1000=$A296),WIPLog!$F$2:$F$1000),"Not Started")))</f>
        <v/>
      </c>
      <c r="L296" s="5" t="str">
        <f>IF($A296="","",SUMIFS(WIPLog!$H:$H,WIPLog!$C:$C,$A296))</f>
        <v/>
      </c>
      <c r="M296" s="5" t="str">
        <f>IF($A296="","",SUMIFS(WIPLog!$I:$I,WIPLog!$C:$C,$A296))</f>
        <v/>
      </c>
      <c r="N296" s="5" t="str">
        <f>IF($A296="","",SUMIFS(WIPLog!$K:$K,WIPLog!$C:$C,$A296))</f>
        <v/>
      </c>
      <c r="O296" s="5" t="str">
        <f>IF($A296="","",SUMIFS('Delivery Log'!$E:$E,'Delivery Log'!$B:$B,$A296))</f>
        <v/>
      </c>
      <c r="P296" s="5" t="str">
        <f t="shared" si="8"/>
        <v/>
      </c>
      <c r="Q296" t="str">
        <f t="shared" si="9"/>
        <v/>
      </c>
    </row>
    <row r="297" spans="7:17">
      <c r="G297" s="5"/>
      <c r="H297" s="4"/>
      <c r="I297" s="4"/>
      <c r="K297" t="str">
        <f>IF($A297="","",IF($O297&gt;=$G297,"Delivered",IFERROR(LOOKUP(2,1/(WIPLog!$C$2:$C$1000=$A297),WIPLog!$F$2:$F$1000),"Not Started")))</f>
        <v/>
      </c>
      <c r="L297" s="5" t="str">
        <f>IF($A297="","",SUMIFS(WIPLog!$H:$H,WIPLog!$C:$C,$A297))</f>
        <v/>
      </c>
      <c r="M297" s="5" t="str">
        <f>IF($A297="","",SUMIFS(WIPLog!$I:$I,WIPLog!$C:$C,$A297))</f>
        <v/>
      </c>
      <c r="N297" s="5" t="str">
        <f>IF($A297="","",SUMIFS(WIPLog!$K:$K,WIPLog!$C:$C,$A297))</f>
        <v/>
      </c>
      <c r="O297" s="5" t="str">
        <f>IF($A297="","",SUMIFS('Delivery Log'!$E:$E,'Delivery Log'!$B:$B,$A297))</f>
        <v/>
      </c>
      <c r="P297" s="5" t="str">
        <f t="shared" si="8"/>
        <v/>
      </c>
      <c r="Q297" t="str">
        <f t="shared" si="9"/>
        <v/>
      </c>
    </row>
    <row r="298" spans="7:17">
      <c r="G298" s="5"/>
      <c r="H298" s="4"/>
      <c r="I298" s="4"/>
      <c r="K298" t="str">
        <f>IF($A298="","",IF($O298&gt;=$G298,"Delivered",IFERROR(LOOKUP(2,1/(WIPLog!$C$2:$C$1000=$A298),WIPLog!$F$2:$F$1000),"Not Started")))</f>
        <v/>
      </c>
      <c r="L298" s="5" t="str">
        <f>IF($A298="","",SUMIFS(WIPLog!$H:$H,WIPLog!$C:$C,$A298))</f>
        <v/>
      </c>
      <c r="M298" s="5" t="str">
        <f>IF($A298="","",SUMIFS(WIPLog!$I:$I,WIPLog!$C:$C,$A298))</f>
        <v/>
      </c>
      <c r="N298" s="5" t="str">
        <f>IF($A298="","",SUMIFS(WIPLog!$K:$K,WIPLog!$C:$C,$A298))</f>
        <v/>
      </c>
      <c r="O298" s="5" t="str">
        <f>IF($A298="","",SUMIFS('Delivery Log'!$E:$E,'Delivery Log'!$B:$B,$A298))</f>
        <v/>
      </c>
      <c r="P298" s="5" t="str">
        <f t="shared" si="8"/>
        <v/>
      </c>
      <c r="Q298" t="str">
        <f t="shared" si="9"/>
        <v/>
      </c>
    </row>
    <row r="299" spans="7:17">
      <c r="G299" s="5"/>
      <c r="H299" s="4"/>
      <c r="I299" s="4"/>
      <c r="K299" t="str">
        <f>IF($A299="","",IF($O299&gt;=$G299,"Delivered",IFERROR(LOOKUP(2,1/(WIPLog!$C$2:$C$1000=$A299),WIPLog!$F$2:$F$1000),"Not Started")))</f>
        <v/>
      </c>
      <c r="L299" s="5" t="str">
        <f>IF($A299="","",SUMIFS(WIPLog!$H:$H,WIPLog!$C:$C,$A299))</f>
        <v/>
      </c>
      <c r="M299" s="5" t="str">
        <f>IF($A299="","",SUMIFS(WIPLog!$I:$I,WIPLog!$C:$C,$A299))</f>
        <v/>
      </c>
      <c r="N299" s="5" t="str">
        <f>IF($A299="","",SUMIFS(WIPLog!$K:$K,WIPLog!$C:$C,$A299))</f>
        <v/>
      </c>
      <c r="O299" s="5" t="str">
        <f>IF($A299="","",SUMIFS('Delivery Log'!$E:$E,'Delivery Log'!$B:$B,$A299))</f>
        <v/>
      </c>
      <c r="P299" s="5" t="str">
        <f t="shared" si="8"/>
        <v/>
      </c>
      <c r="Q299" t="str">
        <f t="shared" si="9"/>
        <v/>
      </c>
    </row>
    <row r="300" spans="7:17">
      <c r="G300" s="5"/>
      <c r="H300" s="4"/>
      <c r="I300" s="4"/>
      <c r="K300" t="str">
        <f>IF($A300="","",IF($O300&gt;=$G300,"Delivered",IFERROR(LOOKUP(2,1/(WIPLog!$C$2:$C$1000=$A300),WIPLog!$F$2:$F$1000),"Not Started")))</f>
        <v/>
      </c>
      <c r="L300" s="5" t="str">
        <f>IF($A300="","",SUMIFS(WIPLog!$H:$H,WIPLog!$C:$C,$A300))</f>
        <v/>
      </c>
      <c r="M300" s="5" t="str">
        <f>IF($A300="","",SUMIFS(WIPLog!$I:$I,WIPLog!$C:$C,$A300))</f>
        <v/>
      </c>
      <c r="N300" s="5" t="str">
        <f>IF($A300="","",SUMIFS(WIPLog!$K:$K,WIPLog!$C:$C,$A300))</f>
        <v/>
      </c>
      <c r="O300" s="5" t="str">
        <f>IF($A300="","",SUMIFS('Delivery Log'!$E:$E,'Delivery Log'!$B:$B,$A300))</f>
        <v/>
      </c>
      <c r="P300" s="5" t="str">
        <f t="shared" si="8"/>
        <v/>
      </c>
      <c r="Q300" t="str">
        <f t="shared" si="9"/>
        <v/>
      </c>
    </row>
    <row r="301" spans="7:17">
      <c r="G301" s="5"/>
      <c r="H301" s="4"/>
      <c r="I301" s="4"/>
      <c r="K301" t="str">
        <f>IF($A301="","",IF($O301&gt;=$G301,"Delivered",IFERROR(LOOKUP(2,1/(WIPLog!$C$2:$C$1000=$A301),WIPLog!$F$2:$F$1000),"Not Started")))</f>
        <v/>
      </c>
      <c r="L301" s="5" t="str">
        <f>IF($A301="","",SUMIFS(WIPLog!$H:$H,WIPLog!$C:$C,$A301))</f>
        <v/>
      </c>
      <c r="M301" s="5" t="str">
        <f>IF($A301="","",SUMIFS(WIPLog!$I:$I,WIPLog!$C:$C,$A301))</f>
        <v/>
      </c>
      <c r="N301" s="5" t="str">
        <f>IF($A301="","",SUMIFS(WIPLog!$K:$K,WIPLog!$C:$C,$A301))</f>
        <v/>
      </c>
      <c r="O301" s="5" t="str">
        <f>IF($A301="","",SUMIFS('Delivery Log'!$E:$E,'Delivery Log'!$B:$B,$A301))</f>
        <v/>
      </c>
      <c r="P301" s="5" t="str">
        <f t="shared" si="8"/>
        <v/>
      </c>
      <c r="Q301" t="str">
        <f t="shared" si="9"/>
        <v/>
      </c>
    </row>
    <row r="302" spans="7:17">
      <c r="G302" s="5"/>
      <c r="H302" s="4"/>
      <c r="I302" s="4"/>
      <c r="K302" t="str">
        <f>IF($A302="","",IF($O302&gt;=$G302,"Delivered",IFERROR(LOOKUP(2,1/(WIPLog!$C$2:$C$1000=$A302),WIPLog!$F$2:$F$1000),"Not Started")))</f>
        <v/>
      </c>
      <c r="L302" s="5" t="str">
        <f>IF($A302="","",SUMIFS(WIPLog!$H:$H,WIPLog!$C:$C,$A302))</f>
        <v/>
      </c>
      <c r="M302" s="5" t="str">
        <f>IF($A302="","",SUMIFS(WIPLog!$I:$I,WIPLog!$C:$C,$A302))</f>
        <v/>
      </c>
      <c r="N302" s="5" t="str">
        <f>IF($A302="","",SUMIFS(WIPLog!$K:$K,WIPLog!$C:$C,$A302))</f>
        <v/>
      </c>
      <c r="O302" s="5" t="str">
        <f>IF($A302="","",SUMIFS('Delivery Log'!$E:$E,'Delivery Log'!$B:$B,$A302))</f>
        <v/>
      </c>
      <c r="P302" s="5" t="str">
        <f t="shared" si="8"/>
        <v/>
      </c>
      <c r="Q302" t="str">
        <f t="shared" si="9"/>
        <v/>
      </c>
    </row>
    <row r="303" spans="7:17">
      <c r="G303" s="5"/>
      <c r="H303" s="4"/>
      <c r="I303" s="4"/>
      <c r="K303" t="str">
        <f>IF($A303="","",IF($O303&gt;=$G303,"Delivered",IFERROR(LOOKUP(2,1/(WIPLog!$C$2:$C$1000=$A303),WIPLog!$F$2:$F$1000),"Not Started")))</f>
        <v/>
      </c>
      <c r="L303" s="5" t="str">
        <f>IF($A303="","",SUMIFS(WIPLog!$H:$H,WIPLog!$C:$C,$A303))</f>
        <v/>
      </c>
      <c r="M303" s="5" t="str">
        <f>IF($A303="","",SUMIFS(WIPLog!$I:$I,WIPLog!$C:$C,$A303))</f>
        <v/>
      </c>
      <c r="N303" s="5" t="str">
        <f>IF($A303="","",SUMIFS(WIPLog!$K:$K,WIPLog!$C:$C,$A303))</f>
        <v/>
      </c>
      <c r="O303" s="5" t="str">
        <f>IF($A303="","",SUMIFS('Delivery Log'!$E:$E,'Delivery Log'!$B:$B,$A303))</f>
        <v/>
      </c>
      <c r="P303" s="5" t="str">
        <f t="shared" si="8"/>
        <v/>
      </c>
      <c r="Q303" t="str">
        <f t="shared" si="9"/>
        <v/>
      </c>
    </row>
    <row r="304" spans="7:17">
      <c r="G304" s="5"/>
      <c r="H304" s="4"/>
      <c r="I304" s="4"/>
      <c r="K304" t="str">
        <f>IF($A304="","",IF($O304&gt;=$G304,"Delivered",IFERROR(LOOKUP(2,1/(WIPLog!$C$2:$C$1000=$A304),WIPLog!$F$2:$F$1000),"Not Started")))</f>
        <v/>
      </c>
      <c r="L304" s="5" t="str">
        <f>IF($A304="","",SUMIFS(WIPLog!$H:$H,WIPLog!$C:$C,$A304))</f>
        <v/>
      </c>
      <c r="M304" s="5" t="str">
        <f>IF($A304="","",SUMIFS(WIPLog!$I:$I,WIPLog!$C:$C,$A304))</f>
        <v/>
      </c>
      <c r="N304" s="5" t="str">
        <f>IF($A304="","",SUMIFS(WIPLog!$K:$K,WIPLog!$C:$C,$A304))</f>
        <v/>
      </c>
      <c r="O304" s="5" t="str">
        <f>IF($A304="","",SUMIFS('Delivery Log'!$E:$E,'Delivery Log'!$B:$B,$A304))</f>
        <v/>
      </c>
      <c r="P304" s="5" t="str">
        <f t="shared" si="8"/>
        <v/>
      </c>
      <c r="Q304" t="str">
        <f t="shared" si="9"/>
        <v/>
      </c>
    </row>
    <row r="305" spans="7:17">
      <c r="G305" s="5"/>
      <c r="H305" s="4"/>
      <c r="I305" s="4"/>
      <c r="K305" t="str">
        <f>IF($A305="","",IF($O305&gt;=$G305,"Delivered",IFERROR(LOOKUP(2,1/(WIPLog!$C$2:$C$1000=$A305),WIPLog!$F$2:$F$1000),"Not Started")))</f>
        <v/>
      </c>
      <c r="L305" s="5" t="str">
        <f>IF($A305="","",SUMIFS(WIPLog!$H:$H,WIPLog!$C:$C,$A305))</f>
        <v/>
      </c>
      <c r="M305" s="5" t="str">
        <f>IF($A305="","",SUMIFS(WIPLog!$I:$I,WIPLog!$C:$C,$A305))</f>
        <v/>
      </c>
      <c r="N305" s="5" t="str">
        <f>IF($A305="","",SUMIFS(WIPLog!$K:$K,WIPLog!$C:$C,$A305))</f>
        <v/>
      </c>
      <c r="O305" s="5" t="str">
        <f>IF($A305="","",SUMIFS('Delivery Log'!$E:$E,'Delivery Log'!$B:$B,$A305))</f>
        <v/>
      </c>
      <c r="P305" s="5" t="str">
        <f t="shared" si="8"/>
        <v/>
      </c>
      <c r="Q305" t="str">
        <f t="shared" si="9"/>
        <v/>
      </c>
    </row>
    <row r="306" spans="7:17">
      <c r="G306" s="5"/>
      <c r="H306" s="4"/>
      <c r="I306" s="4"/>
      <c r="K306" t="str">
        <f>IF($A306="","",IF($O306&gt;=$G306,"Delivered",IFERROR(LOOKUP(2,1/(WIPLog!$C$2:$C$1000=$A306),WIPLog!$F$2:$F$1000),"Not Started")))</f>
        <v/>
      </c>
      <c r="L306" s="5" t="str">
        <f>IF($A306="","",SUMIFS(WIPLog!$H:$H,WIPLog!$C:$C,$A306))</f>
        <v/>
      </c>
      <c r="M306" s="5" t="str">
        <f>IF($A306="","",SUMIFS(WIPLog!$I:$I,WIPLog!$C:$C,$A306))</f>
        <v/>
      </c>
      <c r="N306" s="5" t="str">
        <f>IF($A306="","",SUMIFS(WIPLog!$K:$K,WIPLog!$C:$C,$A306))</f>
        <v/>
      </c>
      <c r="O306" s="5" t="str">
        <f>IF($A306="","",SUMIFS('Delivery Log'!$E:$E,'Delivery Log'!$B:$B,$A306))</f>
        <v/>
      </c>
      <c r="P306" s="5" t="str">
        <f t="shared" si="8"/>
        <v/>
      </c>
      <c r="Q306" t="str">
        <f t="shared" si="9"/>
        <v/>
      </c>
    </row>
    <row r="307" spans="7:17">
      <c r="G307" s="5"/>
      <c r="H307" s="4"/>
      <c r="I307" s="4"/>
      <c r="K307" t="str">
        <f>IF($A307="","",IF($O307&gt;=$G307,"Delivered",IFERROR(LOOKUP(2,1/(WIPLog!$C$2:$C$1000=$A307),WIPLog!$F$2:$F$1000),"Not Started")))</f>
        <v/>
      </c>
      <c r="L307" s="5" t="str">
        <f>IF($A307="","",SUMIFS(WIPLog!$H:$H,WIPLog!$C:$C,$A307))</f>
        <v/>
      </c>
      <c r="M307" s="5" t="str">
        <f>IF($A307="","",SUMIFS(WIPLog!$I:$I,WIPLog!$C:$C,$A307))</f>
        <v/>
      </c>
      <c r="N307" s="5" t="str">
        <f>IF($A307="","",SUMIFS(WIPLog!$K:$K,WIPLog!$C:$C,$A307))</f>
        <v/>
      </c>
      <c r="O307" s="5" t="str">
        <f>IF($A307="","",SUMIFS('Delivery Log'!$E:$E,'Delivery Log'!$B:$B,$A307))</f>
        <v/>
      </c>
      <c r="P307" s="5" t="str">
        <f t="shared" si="8"/>
        <v/>
      </c>
      <c r="Q307" t="str">
        <f t="shared" si="9"/>
        <v/>
      </c>
    </row>
    <row r="308" spans="7:17">
      <c r="G308" s="5"/>
      <c r="H308" s="4"/>
      <c r="I308" s="4"/>
      <c r="K308" t="str">
        <f>IF($A308="","",IF($O308&gt;=$G308,"Delivered",IFERROR(LOOKUP(2,1/(WIPLog!$C$2:$C$1000=$A308),WIPLog!$F$2:$F$1000),"Not Started")))</f>
        <v/>
      </c>
      <c r="L308" s="5" t="str">
        <f>IF($A308="","",SUMIFS(WIPLog!$H:$H,WIPLog!$C:$C,$A308))</f>
        <v/>
      </c>
      <c r="M308" s="5" t="str">
        <f>IF($A308="","",SUMIFS(WIPLog!$I:$I,WIPLog!$C:$C,$A308))</f>
        <v/>
      </c>
      <c r="N308" s="5" t="str">
        <f>IF($A308="","",SUMIFS(WIPLog!$K:$K,WIPLog!$C:$C,$A308))</f>
        <v/>
      </c>
      <c r="O308" s="5" t="str">
        <f>IF($A308="","",SUMIFS('Delivery Log'!$E:$E,'Delivery Log'!$B:$B,$A308))</f>
        <v/>
      </c>
      <c r="P308" s="5" t="str">
        <f t="shared" si="8"/>
        <v/>
      </c>
      <c r="Q308" t="str">
        <f t="shared" si="9"/>
        <v/>
      </c>
    </row>
    <row r="309" spans="7:17">
      <c r="G309" s="5"/>
      <c r="H309" s="4"/>
      <c r="I309" s="4"/>
      <c r="K309" t="str">
        <f>IF($A309="","",IF($O309&gt;=$G309,"Delivered",IFERROR(LOOKUP(2,1/(WIPLog!$C$2:$C$1000=$A309),WIPLog!$F$2:$F$1000),"Not Started")))</f>
        <v/>
      </c>
      <c r="L309" s="5" t="str">
        <f>IF($A309="","",SUMIFS(WIPLog!$H:$H,WIPLog!$C:$C,$A309))</f>
        <v/>
      </c>
      <c r="M309" s="5" t="str">
        <f>IF($A309="","",SUMIFS(WIPLog!$I:$I,WIPLog!$C:$C,$A309))</f>
        <v/>
      </c>
      <c r="N309" s="5" t="str">
        <f>IF($A309="","",SUMIFS(WIPLog!$K:$K,WIPLog!$C:$C,$A309))</f>
        <v/>
      </c>
      <c r="O309" s="5" t="str">
        <f>IF($A309="","",SUMIFS('Delivery Log'!$E:$E,'Delivery Log'!$B:$B,$A309))</f>
        <v/>
      </c>
      <c r="P309" s="5" t="str">
        <f t="shared" si="8"/>
        <v/>
      </c>
      <c r="Q309" t="str">
        <f t="shared" si="9"/>
        <v/>
      </c>
    </row>
    <row r="310" spans="7:17">
      <c r="G310" s="5"/>
      <c r="H310" s="4"/>
      <c r="I310" s="4"/>
      <c r="K310" t="str">
        <f>IF($A310="","",IF($O310&gt;=$G310,"Delivered",IFERROR(LOOKUP(2,1/(WIPLog!$C$2:$C$1000=$A310),WIPLog!$F$2:$F$1000),"Not Started")))</f>
        <v/>
      </c>
      <c r="L310" s="5" t="str">
        <f>IF($A310="","",SUMIFS(WIPLog!$H:$H,WIPLog!$C:$C,$A310))</f>
        <v/>
      </c>
      <c r="M310" s="5" t="str">
        <f>IF($A310="","",SUMIFS(WIPLog!$I:$I,WIPLog!$C:$C,$A310))</f>
        <v/>
      </c>
      <c r="N310" s="5" t="str">
        <f>IF($A310="","",SUMIFS(WIPLog!$K:$K,WIPLog!$C:$C,$A310))</f>
        <v/>
      </c>
      <c r="O310" s="5" t="str">
        <f>IF($A310="","",SUMIFS('Delivery Log'!$E:$E,'Delivery Log'!$B:$B,$A310))</f>
        <v/>
      </c>
      <c r="P310" s="5" t="str">
        <f t="shared" si="8"/>
        <v/>
      </c>
      <c r="Q310" t="str">
        <f t="shared" si="9"/>
        <v/>
      </c>
    </row>
    <row r="311" spans="7:17">
      <c r="G311" s="5"/>
      <c r="H311" s="4"/>
      <c r="I311" s="4"/>
      <c r="K311" t="str">
        <f>IF($A311="","",IF($O311&gt;=$G311,"Delivered",IFERROR(LOOKUP(2,1/(WIPLog!$C$2:$C$1000=$A311),WIPLog!$F$2:$F$1000),"Not Started")))</f>
        <v/>
      </c>
      <c r="L311" s="5" t="str">
        <f>IF($A311="","",SUMIFS(WIPLog!$H:$H,WIPLog!$C:$C,$A311))</f>
        <v/>
      </c>
      <c r="M311" s="5" t="str">
        <f>IF($A311="","",SUMIFS(WIPLog!$I:$I,WIPLog!$C:$C,$A311))</f>
        <v/>
      </c>
      <c r="N311" s="5" t="str">
        <f>IF($A311="","",SUMIFS(WIPLog!$K:$K,WIPLog!$C:$C,$A311))</f>
        <v/>
      </c>
      <c r="O311" s="5" t="str">
        <f>IF($A311="","",SUMIFS('Delivery Log'!$E:$E,'Delivery Log'!$B:$B,$A311))</f>
        <v/>
      </c>
      <c r="P311" s="5" t="str">
        <f t="shared" si="8"/>
        <v/>
      </c>
      <c r="Q311" t="str">
        <f t="shared" si="9"/>
        <v/>
      </c>
    </row>
    <row r="312" spans="7:17">
      <c r="G312" s="5"/>
      <c r="H312" s="4"/>
      <c r="I312" s="4"/>
      <c r="K312" t="str">
        <f>IF($A312="","",IF($O312&gt;=$G312,"Delivered",IFERROR(LOOKUP(2,1/(WIPLog!$C$2:$C$1000=$A312),WIPLog!$F$2:$F$1000),"Not Started")))</f>
        <v/>
      </c>
      <c r="L312" s="5" t="str">
        <f>IF($A312="","",SUMIFS(WIPLog!$H:$H,WIPLog!$C:$C,$A312))</f>
        <v/>
      </c>
      <c r="M312" s="5" t="str">
        <f>IF($A312="","",SUMIFS(WIPLog!$I:$I,WIPLog!$C:$C,$A312))</f>
        <v/>
      </c>
      <c r="N312" s="5" t="str">
        <f>IF($A312="","",SUMIFS(WIPLog!$K:$K,WIPLog!$C:$C,$A312))</f>
        <v/>
      </c>
      <c r="O312" s="5" t="str">
        <f>IF($A312="","",SUMIFS('Delivery Log'!$E:$E,'Delivery Log'!$B:$B,$A312))</f>
        <v/>
      </c>
      <c r="P312" s="5" t="str">
        <f t="shared" si="8"/>
        <v/>
      </c>
      <c r="Q312" t="str">
        <f t="shared" si="9"/>
        <v/>
      </c>
    </row>
    <row r="313" spans="7:17">
      <c r="G313" s="5"/>
      <c r="H313" s="4"/>
      <c r="I313" s="4"/>
      <c r="K313" t="str">
        <f>IF($A313="","",IF($O313&gt;=$G313,"Delivered",IFERROR(LOOKUP(2,1/(WIPLog!$C$2:$C$1000=$A313),WIPLog!$F$2:$F$1000),"Not Started")))</f>
        <v/>
      </c>
      <c r="L313" s="5" t="str">
        <f>IF($A313="","",SUMIFS(WIPLog!$H:$H,WIPLog!$C:$C,$A313))</f>
        <v/>
      </c>
      <c r="M313" s="5" t="str">
        <f>IF($A313="","",SUMIFS(WIPLog!$I:$I,WIPLog!$C:$C,$A313))</f>
        <v/>
      </c>
      <c r="N313" s="5" t="str">
        <f>IF($A313="","",SUMIFS(WIPLog!$K:$K,WIPLog!$C:$C,$A313))</f>
        <v/>
      </c>
      <c r="O313" s="5" t="str">
        <f>IF($A313="","",SUMIFS('Delivery Log'!$E:$E,'Delivery Log'!$B:$B,$A313))</f>
        <v/>
      </c>
      <c r="P313" s="5" t="str">
        <f t="shared" si="8"/>
        <v/>
      </c>
      <c r="Q313" t="str">
        <f t="shared" si="9"/>
        <v/>
      </c>
    </row>
    <row r="314" spans="7:17">
      <c r="G314" s="5"/>
      <c r="H314" s="4"/>
      <c r="I314" s="4"/>
      <c r="K314" t="str">
        <f>IF($A314="","",IF($O314&gt;=$G314,"Delivered",IFERROR(LOOKUP(2,1/(WIPLog!$C$2:$C$1000=$A314),WIPLog!$F$2:$F$1000),"Not Started")))</f>
        <v/>
      </c>
      <c r="L314" s="5" t="str">
        <f>IF($A314="","",SUMIFS(WIPLog!$H:$H,WIPLog!$C:$C,$A314))</f>
        <v/>
      </c>
      <c r="M314" s="5" t="str">
        <f>IF($A314="","",SUMIFS(WIPLog!$I:$I,WIPLog!$C:$C,$A314))</f>
        <v/>
      </c>
      <c r="N314" s="5" t="str">
        <f>IF($A314="","",SUMIFS(WIPLog!$K:$K,WIPLog!$C:$C,$A314))</f>
        <v/>
      </c>
      <c r="O314" s="5" t="str">
        <f>IF($A314="","",SUMIFS('Delivery Log'!$E:$E,'Delivery Log'!$B:$B,$A314))</f>
        <v/>
      </c>
      <c r="P314" s="5" t="str">
        <f t="shared" si="8"/>
        <v/>
      </c>
      <c r="Q314" t="str">
        <f t="shared" si="9"/>
        <v/>
      </c>
    </row>
    <row r="315" spans="7:17">
      <c r="G315" s="5"/>
      <c r="H315" s="4"/>
      <c r="I315" s="4"/>
      <c r="K315" t="str">
        <f>IF($A315="","",IF($O315&gt;=$G315,"Delivered",IFERROR(LOOKUP(2,1/(WIPLog!$C$2:$C$1000=$A315),WIPLog!$F$2:$F$1000),"Not Started")))</f>
        <v/>
      </c>
      <c r="L315" s="5" t="str">
        <f>IF($A315="","",SUMIFS(WIPLog!$H:$H,WIPLog!$C:$C,$A315))</f>
        <v/>
      </c>
      <c r="M315" s="5" t="str">
        <f>IF($A315="","",SUMIFS(WIPLog!$I:$I,WIPLog!$C:$C,$A315))</f>
        <v/>
      </c>
      <c r="N315" s="5" t="str">
        <f>IF($A315="","",SUMIFS(WIPLog!$K:$K,WIPLog!$C:$C,$A315))</f>
        <v/>
      </c>
      <c r="O315" s="5" t="str">
        <f>IF($A315="","",SUMIFS('Delivery Log'!$E:$E,'Delivery Log'!$B:$B,$A315))</f>
        <v/>
      </c>
      <c r="P315" s="5" t="str">
        <f t="shared" si="8"/>
        <v/>
      </c>
      <c r="Q315" t="str">
        <f t="shared" si="9"/>
        <v/>
      </c>
    </row>
    <row r="316" spans="7:17">
      <c r="G316" s="5"/>
      <c r="H316" s="4"/>
      <c r="I316" s="4"/>
      <c r="K316" t="str">
        <f>IF($A316="","",IF($O316&gt;=$G316,"Delivered",IFERROR(LOOKUP(2,1/(WIPLog!$C$2:$C$1000=$A316),WIPLog!$F$2:$F$1000),"Not Started")))</f>
        <v/>
      </c>
      <c r="L316" s="5" t="str">
        <f>IF($A316="","",SUMIFS(WIPLog!$H:$H,WIPLog!$C:$C,$A316))</f>
        <v/>
      </c>
      <c r="M316" s="5" t="str">
        <f>IF($A316="","",SUMIFS(WIPLog!$I:$I,WIPLog!$C:$C,$A316))</f>
        <v/>
      </c>
      <c r="N316" s="5" t="str">
        <f>IF($A316="","",SUMIFS(WIPLog!$K:$K,WIPLog!$C:$C,$A316))</f>
        <v/>
      </c>
      <c r="O316" s="5" t="str">
        <f>IF($A316="","",SUMIFS('Delivery Log'!$E:$E,'Delivery Log'!$B:$B,$A316))</f>
        <v/>
      </c>
      <c r="P316" s="5" t="str">
        <f t="shared" si="8"/>
        <v/>
      </c>
      <c r="Q316" t="str">
        <f t="shared" si="9"/>
        <v/>
      </c>
    </row>
    <row r="317" spans="7:17">
      <c r="G317" s="5"/>
      <c r="H317" s="4"/>
      <c r="I317" s="4"/>
      <c r="K317" t="str">
        <f>IF($A317="","",IF($O317&gt;=$G317,"Delivered",IFERROR(LOOKUP(2,1/(WIPLog!$C$2:$C$1000=$A317),WIPLog!$F$2:$F$1000),"Not Started")))</f>
        <v/>
      </c>
      <c r="L317" s="5" t="str">
        <f>IF($A317="","",SUMIFS(WIPLog!$H:$H,WIPLog!$C:$C,$A317))</f>
        <v/>
      </c>
      <c r="M317" s="5" t="str">
        <f>IF($A317="","",SUMIFS(WIPLog!$I:$I,WIPLog!$C:$C,$A317))</f>
        <v/>
      </c>
      <c r="N317" s="5" t="str">
        <f>IF($A317="","",SUMIFS(WIPLog!$K:$K,WIPLog!$C:$C,$A317))</f>
        <v/>
      </c>
      <c r="O317" s="5" t="str">
        <f>IF($A317="","",SUMIFS('Delivery Log'!$E:$E,'Delivery Log'!$B:$B,$A317))</f>
        <v/>
      </c>
      <c r="P317" s="5" t="str">
        <f t="shared" si="8"/>
        <v/>
      </c>
      <c r="Q317" t="str">
        <f t="shared" si="9"/>
        <v/>
      </c>
    </row>
    <row r="318" spans="7:17">
      <c r="G318" s="5"/>
      <c r="H318" s="4"/>
      <c r="I318" s="4"/>
      <c r="K318" t="str">
        <f>IF($A318="","",IF($O318&gt;=$G318,"Delivered",IFERROR(LOOKUP(2,1/(WIPLog!$C$2:$C$1000=$A318),WIPLog!$F$2:$F$1000),"Not Started")))</f>
        <v/>
      </c>
      <c r="L318" s="5" t="str">
        <f>IF($A318="","",SUMIFS(WIPLog!$H:$H,WIPLog!$C:$C,$A318))</f>
        <v/>
      </c>
      <c r="M318" s="5" t="str">
        <f>IF($A318="","",SUMIFS(WIPLog!$I:$I,WIPLog!$C:$C,$A318))</f>
        <v/>
      </c>
      <c r="N318" s="5" t="str">
        <f>IF($A318="","",SUMIFS(WIPLog!$K:$K,WIPLog!$C:$C,$A318))</f>
        <v/>
      </c>
      <c r="O318" s="5" t="str">
        <f>IF($A318="","",SUMIFS('Delivery Log'!$E:$E,'Delivery Log'!$B:$B,$A318))</f>
        <v/>
      </c>
      <c r="P318" s="5" t="str">
        <f t="shared" si="8"/>
        <v/>
      </c>
      <c r="Q318" t="str">
        <f t="shared" si="9"/>
        <v/>
      </c>
    </row>
    <row r="319" spans="7:17">
      <c r="G319" s="5"/>
      <c r="H319" s="4"/>
      <c r="I319" s="4"/>
      <c r="K319" t="str">
        <f>IF($A319="","",IF($O319&gt;=$G319,"Delivered",IFERROR(LOOKUP(2,1/(WIPLog!$C$2:$C$1000=$A319),WIPLog!$F$2:$F$1000),"Not Started")))</f>
        <v/>
      </c>
      <c r="L319" s="5" t="str">
        <f>IF($A319="","",SUMIFS(WIPLog!$H:$H,WIPLog!$C:$C,$A319))</f>
        <v/>
      </c>
      <c r="M319" s="5" t="str">
        <f>IF($A319="","",SUMIFS(WIPLog!$I:$I,WIPLog!$C:$C,$A319))</f>
        <v/>
      </c>
      <c r="N319" s="5" t="str">
        <f>IF($A319="","",SUMIFS(WIPLog!$K:$K,WIPLog!$C:$C,$A319))</f>
        <v/>
      </c>
      <c r="O319" s="5" t="str">
        <f>IF($A319="","",SUMIFS('Delivery Log'!$E:$E,'Delivery Log'!$B:$B,$A319))</f>
        <v/>
      </c>
      <c r="P319" s="5" t="str">
        <f t="shared" si="8"/>
        <v/>
      </c>
      <c r="Q319" t="str">
        <f t="shared" si="9"/>
        <v/>
      </c>
    </row>
    <row r="320" spans="7:17">
      <c r="G320" s="5"/>
      <c r="H320" s="4"/>
      <c r="I320" s="4"/>
      <c r="K320" t="str">
        <f>IF($A320="","",IF($O320&gt;=$G320,"Delivered",IFERROR(LOOKUP(2,1/(WIPLog!$C$2:$C$1000=$A320),WIPLog!$F$2:$F$1000),"Not Started")))</f>
        <v/>
      </c>
      <c r="L320" s="5" t="str">
        <f>IF($A320="","",SUMIFS(WIPLog!$H:$H,WIPLog!$C:$C,$A320))</f>
        <v/>
      </c>
      <c r="M320" s="5" t="str">
        <f>IF($A320="","",SUMIFS(WIPLog!$I:$I,WIPLog!$C:$C,$A320))</f>
        <v/>
      </c>
      <c r="N320" s="5" t="str">
        <f>IF($A320="","",SUMIFS(WIPLog!$K:$K,WIPLog!$C:$C,$A320))</f>
        <v/>
      </c>
      <c r="O320" s="5" t="str">
        <f>IF($A320="","",SUMIFS('Delivery Log'!$E:$E,'Delivery Log'!$B:$B,$A320))</f>
        <v/>
      </c>
      <c r="P320" s="5" t="str">
        <f t="shared" si="8"/>
        <v/>
      </c>
      <c r="Q320" t="str">
        <f t="shared" si="9"/>
        <v/>
      </c>
    </row>
    <row r="321" spans="7:17">
      <c r="G321" s="5"/>
      <c r="H321" s="4"/>
      <c r="I321" s="4"/>
      <c r="K321" t="str">
        <f>IF($A321="","",IF($O321&gt;=$G321,"Delivered",IFERROR(LOOKUP(2,1/(WIPLog!$C$2:$C$1000=$A321),WIPLog!$F$2:$F$1000),"Not Started")))</f>
        <v/>
      </c>
      <c r="L321" s="5" t="str">
        <f>IF($A321="","",SUMIFS(WIPLog!$H:$H,WIPLog!$C:$C,$A321))</f>
        <v/>
      </c>
      <c r="M321" s="5" t="str">
        <f>IF($A321="","",SUMIFS(WIPLog!$I:$I,WIPLog!$C:$C,$A321))</f>
        <v/>
      </c>
      <c r="N321" s="5" t="str">
        <f>IF($A321="","",SUMIFS(WIPLog!$K:$K,WIPLog!$C:$C,$A321))</f>
        <v/>
      </c>
      <c r="O321" s="5" t="str">
        <f>IF($A321="","",SUMIFS('Delivery Log'!$E:$E,'Delivery Log'!$B:$B,$A321))</f>
        <v/>
      </c>
      <c r="P321" s="5" t="str">
        <f t="shared" si="8"/>
        <v/>
      </c>
      <c r="Q321" t="str">
        <f t="shared" si="9"/>
        <v/>
      </c>
    </row>
    <row r="322" spans="7:17">
      <c r="G322" s="5"/>
      <c r="H322" s="4"/>
      <c r="I322" s="4"/>
      <c r="K322" t="str">
        <f>IF($A322="","",IF($O322&gt;=$G322,"Delivered",IFERROR(LOOKUP(2,1/(WIPLog!$C$2:$C$1000=$A322),WIPLog!$F$2:$F$1000),"Not Started")))</f>
        <v/>
      </c>
      <c r="L322" s="5" t="str">
        <f>IF($A322="","",SUMIFS(WIPLog!$H:$H,WIPLog!$C:$C,$A322))</f>
        <v/>
      </c>
      <c r="M322" s="5" t="str">
        <f>IF($A322="","",SUMIFS(WIPLog!$I:$I,WIPLog!$C:$C,$A322))</f>
        <v/>
      </c>
      <c r="N322" s="5" t="str">
        <f>IF($A322="","",SUMIFS(WIPLog!$K:$K,WIPLog!$C:$C,$A322))</f>
        <v/>
      </c>
      <c r="O322" s="5" t="str">
        <f>IF($A322="","",SUMIFS('Delivery Log'!$E:$E,'Delivery Log'!$B:$B,$A322))</f>
        <v/>
      </c>
      <c r="P322" s="5" t="str">
        <f t="shared" ref="P322:P385" si="10">IF($A322="","",MAX(0,$G322-$O322-$N322))</f>
        <v/>
      </c>
      <c r="Q322" t="str">
        <f t="shared" ref="Q322:Q385" si="11">IF($A322="","",IF($O322&gt;=$G322,"Delivered",IF($O322&gt;0,"Partial",IF($P322=0,"Closed","Open"))))</f>
        <v/>
      </c>
    </row>
    <row r="323" spans="7:17">
      <c r="G323" s="5"/>
      <c r="H323" s="4"/>
      <c r="I323" s="4"/>
      <c r="K323" t="str">
        <f>IF($A323="","",IF($O323&gt;=$G323,"Delivered",IFERROR(LOOKUP(2,1/(WIPLog!$C$2:$C$1000=$A323),WIPLog!$F$2:$F$1000),"Not Started")))</f>
        <v/>
      </c>
      <c r="L323" s="5" t="str">
        <f>IF($A323="","",SUMIFS(WIPLog!$H:$H,WIPLog!$C:$C,$A323))</f>
        <v/>
      </c>
      <c r="M323" s="5" t="str">
        <f>IF($A323="","",SUMIFS(WIPLog!$I:$I,WIPLog!$C:$C,$A323))</f>
        <v/>
      </c>
      <c r="N323" s="5" t="str">
        <f>IF($A323="","",SUMIFS(WIPLog!$K:$K,WIPLog!$C:$C,$A323))</f>
        <v/>
      </c>
      <c r="O323" s="5" t="str">
        <f>IF($A323="","",SUMIFS('Delivery Log'!$E:$E,'Delivery Log'!$B:$B,$A323))</f>
        <v/>
      </c>
      <c r="P323" s="5" t="str">
        <f t="shared" si="10"/>
        <v/>
      </c>
      <c r="Q323" t="str">
        <f t="shared" si="11"/>
        <v/>
      </c>
    </row>
    <row r="324" spans="7:17">
      <c r="G324" s="5"/>
      <c r="H324" s="4"/>
      <c r="I324" s="4"/>
      <c r="K324" t="str">
        <f>IF($A324="","",IF($O324&gt;=$G324,"Delivered",IFERROR(LOOKUP(2,1/(WIPLog!$C$2:$C$1000=$A324),WIPLog!$F$2:$F$1000),"Not Started")))</f>
        <v/>
      </c>
      <c r="L324" s="5" t="str">
        <f>IF($A324="","",SUMIFS(WIPLog!$H:$H,WIPLog!$C:$C,$A324))</f>
        <v/>
      </c>
      <c r="M324" s="5" t="str">
        <f>IF($A324="","",SUMIFS(WIPLog!$I:$I,WIPLog!$C:$C,$A324))</f>
        <v/>
      </c>
      <c r="N324" s="5" t="str">
        <f>IF($A324="","",SUMIFS(WIPLog!$K:$K,WIPLog!$C:$C,$A324))</f>
        <v/>
      </c>
      <c r="O324" s="5" t="str">
        <f>IF($A324="","",SUMIFS('Delivery Log'!$E:$E,'Delivery Log'!$B:$B,$A324))</f>
        <v/>
      </c>
      <c r="P324" s="5" t="str">
        <f t="shared" si="10"/>
        <v/>
      </c>
      <c r="Q324" t="str">
        <f t="shared" si="11"/>
        <v/>
      </c>
    </row>
    <row r="325" spans="7:17">
      <c r="G325" s="5"/>
      <c r="H325" s="4"/>
      <c r="I325" s="4"/>
      <c r="K325" t="str">
        <f>IF($A325="","",IF($O325&gt;=$G325,"Delivered",IFERROR(LOOKUP(2,1/(WIPLog!$C$2:$C$1000=$A325),WIPLog!$F$2:$F$1000),"Not Started")))</f>
        <v/>
      </c>
      <c r="L325" s="5" t="str">
        <f>IF($A325="","",SUMIFS(WIPLog!$H:$H,WIPLog!$C:$C,$A325))</f>
        <v/>
      </c>
      <c r="M325" s="5" t="str">
        <f>IF($A325="","",SUMIFS(WIPLog!$I:$I,WIPLog!$C:$C,$A325))</f>
        <v/>
      </c>
      <c r="N325" s="5" t="str">
        <f>IF($A325="","",SUMIFS(WIPLog!$K:$K,WIPLog!$C:$C,$A325))</f>
        <v/>
      </c>
      <c r="O325" s="5" t="str">
        <f>IF($A325="","",SUMIFS('Delivery Log'!$E:$E,'Delivery Log'!$B:$B,$A325))</f>
        <v/>
      </c>
      <c r="P325" s="5" t="str">
        <f t="shared" si="10"/>
        <v/>
      </c>
      <c r="Q325" t="str">
        <f t="shared" si="11"/>
        <v/>
      </c>
    </row>
    <row r="326" spans="7:17">
      <c r="G326" s="5"/>
      <c r="H326" s="4"/>
      <c r="I326" s="4"/>
      <c r="K326" t="str">
        <f>IF($A326="","",IF($O326&gt;=$G326,"Delivered",IFERROR(LOOKUP(2,1/(WIPLog!$C$2:$C$1000=$A326),WIPLog!$F$2:$F$1000),"Not Started")))</f>
        <v/>
      </c>
      <c r="L326" s="5" t="str">
        <f>IF($A326="","",SUMIFS(WIPLog!$H:$H,WIPLog!$C:$C,$A326))</f>
        <v/>
      </c>
      <c r="M326" s="5" t="str">
        <f>IF($A326="","",SUMIFS(WIPLog!$I:$I,WIPLog!$C:$C,$A326))</f>
        <v/>
      </c>
      <c r="N326" s="5" t="str">
        <f>IF($A326="","",SUMIFS(WIPLog!$K:$K,WIPLog!$C:$C,$A326))</f>
        <v/>
      </c>
      <c r="O326" s="5" t="str">
        <f>IF($A326="","",SUMIFS('Delivery Log'!$E:$E,'Delivery Log'!$B:$B,$A326))</f>
        <v/>
      </c>
      <c r="P326" s="5" t="str">
        <f t="shared" si="10"/>
        <v/>
      </c>
      <c r="Q326" t="str">
        <f t="shared" si="11"/>
        <v/>
      </c>
    </row>
    <row r="327" spans="7:17">
      <c r="G327" s="5"/>
      <c r="H327" s="4"/>
      <c r="I327" s="4"/>
      <c r="K327" t="str">
        <f>IF($A327="","",IF($O327&gt;=$G327,"Delivered",IFERROR(LOOKUP(2,1/(WIPLog!$C$2:$C$1000=$A327),WIPLog!$F$2:$F$1000),"Not Started")))</f>
        <v/>
      </c>
      <c r="L327" s="5" t="str">
        <f>IF($A327="","",SUMIFS(WIPLog!$H:$H,WIPLog!$C:$C,$A327))</f>
        <v/>
      </c>
      <c r="M327" s="5" t="str">
        <f>IF($A327="","",SUMIFS(WIPLog!$I:$I,WIPLog!$C:$C,$A327))</f>
        <v/>
      </c>
      <c r="N327" s="5" t="str">
        <f>IF($A327="","",SUMIFS(WIPLog!$K:$K,WIPLog!$C:$C,$A327))</f>
        <v/>
      </c>
      <c r="O327" s="5" t="str">
        <f>IF($A327="","",SUMIFS('Delivery Log'!$E:$E,'Delivery Log'!$B:$B,$A327))</f>
        <v/>
      </c>
      <c r="P327" s="5" t="str">
        <f t="shared" si="10"/>
        <v/>
      </c>
      <c r="Q327" t="str">
        <f t="shared" si="11"/>
        <v/>
      </c>
    </row>
    <row r="328" spans="7:17">
      <c r="G328" s="5"/>
      <c r="H328" s="4"/>
      <c r="I328" s="4"/>
      <c r="K328" t="str">
        <f>IF($A328="","",IF($O328&gt;=$G328,"Delivered",IFERROR(LOOKUP(2,1/(WIPLog!$C$2:$C$1000=$A328),WIPLog!$F$2:$F$1000),"Not Started")))</f>
        <v/>
      </c>
      <c r="L328" s="5" t="str">
        <f>IF($A328="","",SUMIFS(WIPLog!$H:$H,WIPLog!$C:$C,$A328))</f>
        <v/>
      </c>
      <c r="M328" s="5" t="str">
        <f>IF($A328="","",SUMIFS(WIPLog!$I:$I,WIPLog!$C:$C,$A328))</f>
        <v/>
      </c>
      <c r="N328" s="5" t="str">
        <f>IF($A328="","",SUMIFS(WIPLog!$K:$K,WIPLog!$C:$C,$A328))</f>
        <v/>
      </c>
      <c r="O328" s="5" t="str">
        <f>IF($A328="","",SUMIFS('Delivery Log'!$E:$E,'Delivery Log'!$B:$B,$A328))</f>
        <v/>
      </c>
      <c r="P328" s="5" t="str">
        <f t="shared" si="10"/>
        <v/>
      </c>
      <c r="Q328" t="str">
        <f t="shared" si="11"/>
        <v/>
      </c>
    </row>
    <row r="329" spans="7:17">
      <c r="G329" s="5"/>
      <c r="H329" s="4"/>
      <c r="I329" s="4"/>
      <c r="K329" t="str">
        <f>IF($A329="","",IF($O329&gt;=$G329,"Delivered",IFERROR(LOOKUP(2,1/(WIPLog!$C$2:$C$1000=$A329),WIPLog!$F$2:$F$1000),"Not Started")))</f>
        <v/>
      </c>
      <c r="L329" s="5" t="str">
        <f>IF($A329="","",SUMIFS(WIPLog!$H:$H,WIPLog!$C:$C,$A329))</f>
        <v/>
      </c>
      <c r="M329" s="5" t="str">
        <f>IF($A329="","",SUMIFS(WIPLog!$I:$I,WIPLog!$C:$C,$A329))</f>
        <v/>
      </c>
      <c r="N329" s="5" t="str">
        <f>IF($A329="","",SUMIFS(WIPLog!$K:$K,WIPLog!$C:$C,$A329))</f>
        <v/>
      </c>
      <c r="O329" s="5" t="str">
        <f>IF($A329="","",SUMIFS('Delivery Log'!$E:$E,'Delivery Log'!$B:$B,$A329))</f>
        <v/>
      </c>
      <c r="P329" s="5" t="str">
        <f t="shared" si="10"/>
        <v/>
      </c>
      <c r="Q329" t="str">
        <f t="shared" si="11"/>
        <v/>
      </c>
    </row>
    <row r="330" spans="7:17">
      <c r="G330" s="5"/>
      <c r="H330" s="4"/>
      <c r="I330" s="4"/>
      <c r="K330" t="str">
        <f>IF($A330="","",IF($O330&gt;=$G330,"Delivered",IFERROR(LOOKUP(2,1/(WIPLog!$C$2:$C$1000=$A330),WIPLog!$F$2:$F$1000),"Not Started")))</f>
        <v/>
      </c>
      <c r="L330" s="5" t="str">
        <f>IF($A330="","",SUMIFS(WIPLog!$H:$H,WIPLog!$C:$C,$A330))</f>
        <v/>
      </c>
      <c r="M330" s="5" t="str">
        <f>IF($A330="","",SUMIFS(WIPLog!$I:$I,WIPLog!$C:$C,$A330))</f>
        <v/>
      </c>
      <c r="N330" s="5" t="str">
        <f>IF($A330="","",SUMIFS(WIPLog!$K:$K,WIPLog!$C:$C,$A330))</f>
        <v/>
      </c>
      <c r="O330" s="5" t="str">
        <f>IF($A330="","",SUMIFS('Delivery Log'!$E:$E,'Delivery Log'!$B:$B,$A330))</f>
        <v/>
      </c>
      <c r="P330" s="5" t="str">
        <f t="shared" si="10"/>
        <v/>
      </c>
      <c r="Q330" t="str">
        <f t="shared" si="11"/>
        <v/>
      </c>
    </row>
    <row r="331" spans="7:17">
      <c r="G331" s="5"/>
      <c r="H331" s="4"/>
      <c r="I331" s="4"/>
      <c r="K331" t="str">
        <f>IF($A331="","",IF($O331&gt;=$G331,"Delivered",IFERROR(LOOKUP(2,1/(WIPLog!$C$2:$C$1000=$A331),WIPLog!$F$2:$F$1000),"Not Started")))</f>
        <v/>
      </c>
      <c r="L331" s="5" t="str">
        <f>IF($A331="","",SUMIFS(WIPLog!$H:$H,WIPLog!$C:$C,$A331))</f>
        <v/>
      </c>
      <c r="M331" s="5" t="str">
        <f>IF($A331="","",SUMIFS(WIPLog!$I:$I,WIPLog!$C:$C,$A331))</f>
        <v/>
      </c>
      <c r="N331" s="5" t="str">
        <f>IF($A331="","",SUMIFS(WIPLog!$K:$K,WIPLog!$C:$C,$A331))</f>
        <v/>
      </c>
      <c r="O331" s="5" t="str">
        <f>IF($A331="","",SUMIFS('Delivery Log'!$E:$E,'Delivery Log'!$B:$B,$A331))</f>
        <v/>
      </c>
      <c r="P331" s="5" t="str">
        <f t="shared" si="10"/>
        <v/>
      </c>
      <c r="Q331" t="str">
        <f t="shared" si="11"/>
        <v/>
      </c>
    </row>
    <row r="332" spans="7:17">
      <c r="G332" s="5"/>
      <c r="H332" s="4"/>
      <c r="I332" s="4"/>
      <c r="K332" t="str">
        <f>IF($A332="","",IF($O332&gt;=$G332,"Delivered",IFERROR(LOOKUP(2,1/(WIPLog!$C$2:$C$1000=$A332),WIPLog!$F$2:$F$1000),"Not Started")))</f>
        <v/>
      </c>
      <c r="L332" s="5" t="str">
        <f>IF($A332="","",SUMIFS(WIPLog!$H:$H,WIPLog!$C:$C,$A332))</f>
        <v/>
      </c>
      <c r="M332" s="5" t="str">
        <f>IF($A332="","",SUMIFS(WIPLog!$I:$I,WIPLog!$C:$C,$A332))</f>
        <v/>
      </c>
      <c r="N332" s="5" t="str">
        <f>IF($A332="","",SUMIFS(WIPLog!$K:$K,WIPLog!$C:$C,$A332))</f>
        <v/>
      </c>
      <c r="O332" s="5" t="str">
        <f>IF($A332="","",SUMIFS('Delivery Log'!$E:$E,'Delivery Log'!$B:$B,$A332))</f>
        <v/>
      </c>
      <c r="P332" s="5" t="str">
        <f t="shared" si="10"/>
        <v/>
      </c>
      <c r="Q332" t="str">
        <f t="shared" si="11"/>
        <v/>
      </c>
    </row>
    <row r="333" spans="7:17">
      <c r="G333" s="5"/>
      <c r="H333" s="4"/>
      <c r="I333" s="4"/>
      <c r="K333" t="str">
        <f>IF($A333="","",IF($O333&gt;=$G333,"Delivered",IFERROR(LOOKUP(2,1/(WIPLog!$C$2:$C$1000=$A333),WIPLog!$F$2:$F$1000),"Not Started")))</f>
        <v/>
      </c>
      <c r="L333" s="5" t="str">
        <f>IF($A333="","",SUMIFS(WIPLog!$H:$H,WIPLog!$C:$C,$A333))</f>
        <v/>
      </c>
      <c r="M333" s="5" t="str">
        <f>IF($A333="","",SUMIFS(WIPLog!$I:$I,WIPLog!$C:$C,$A333))</f>
        <v/>
      </c>
      <c r="N333" s="5" t="str">
        <f>IF($A333="","",SUMIFS(WIPLog!$K:$K,WIPLog!$C:$C,$A333))</f>
        <v/>
      </c>
      <c r="O333" s="5" t="str">
        <f>IF($A333="","",SUMIFS('Delivery Log'!$E:$E,'Delivery Log'!$B:$B,$A333))</f>
        <v/>
      </c>
      <c r="P333" s="5" t="str">
        <f t="shared" si="10"/>
        <v/>
      </c>
      <c r="Q333" t="str">
        <f t="shared" si="11"/>
        <v/>
      </c>
    </row>
    <row r="334" spans="7:17">
      <c r="G334" s="5"/>
      <c r="H334" s="4"/>
      <c r="I334" s="4"/>
      <c r="K334" t="str">
        <f>IF($A334="","",IF($O334&gt;=$G334,"Delivered",IFERROR(LOOKUP(2,1/(WIPLog!$C$2:$C$1000=$A334),WIPLog!$F$2:$F$1000),"Not Started")))</f>
        <v/>
      </c>
      <c r="L334" s="5" t="str">
        <f>IF($A334="","",SUMIFS(WIPLog!$H:$H,WIPLog!$C:$C,$A334))</f>
        <v/>
      </c>
      <c r="M334" s="5" t="str">
        <f>IF($A334="","",SUMIFS(WIPLog!$I:$I,WIPLog!$C:$C,$A334))</f>
        <v/>
      </c>
      <c r="N334" s="5" t="str">
        <f>IF($A334="","",SUMIFS(WIPLog!$K:$K,WIPLog!$C:$C,$A334))</f>
        <v/>
      </c>
      <c r="O334" s="5" t="str">
        <f>IF($A334="","",SUMIFS('Delivery Log'!$E:$E,'Delivery Log'!$B:$B,$A334))</f>
        <v/>
      </c>
      <c r="P334" s="5" t="str">
        <f t="shared" si="10"/>
        <v/>
      </c>
      <c r="Q334" t="str">
        <f t="shared" si="11"/>
        <v/>
      </c>
    </row>
    <row r="335" spans="7:17">
      <c r="G335" s="5"/>
      <c r="H335" s="4"/>
      <c r="I335" s="4"/>
      <c r="K335" t="str">
        <f>IF($A335="","",IF($O335&gt;=$G335,"Delivered",IFERROR(LOOKUP(2,1/(WIPLog!$C$2:$C$1000=$A335),WIPLog!$F$2:$F$1000),"Not Started")))</f>
        <v/>
      </c>
      <c r="L335" s="5" t="str">
        <f>IF($A335="","",SUMIFS(WIPLog!$H:$H,WIPLog!$C:$C,$A335))</f>
        <v/>
      </c>
      <c r="M335" s="5" t="str">
        <f>IF($A335="","",SUMIFS(WIPLog!$I:$I,WIPLog!$C:$C,$A335))</f>
        <v/>
      </c>
      <c r="N335" s="5" t="str">
        <f>IF($A335="","",SUMIFS(WIPLog!$K:$K,WIPLog!$C:$C,$A335))</f>
        <v/>
      </c>
      <c r="O335" s="5" t="str">
        <f>IF($A335="","",SUMIFS('Delivery Log'!$E:$E,'Delivery Log'!$B:$B,$A335))</f>
        <v/>
      </c>
      <c r="P335" s="5" t="str">
        <f t="shared" si="10"/>
        <v/>
      </c>
      <c r="Q335" t="str">
        <f t="shared" si="11"/>
        <v/>
      </c>
    </row>
    <row r="336" spans="7:17">
      <c r="G336" s="5"/>
      <c r="H336" s="4"/>
      <c r="I336" s="4"/>
      <c r="K336" t="str">
        <f>IF($A336="","",IF($O336&gt;=$G336,"Delivered",IFERROR(LOOKUP(2,1/(WIPLog!$C$2:$C$1000=$A336),WIPLog!$F$2:$F$1000),"Not Started")))</f>
        <v/>
      </c>
      <c r="L336" s="5" t="str">
        <f>IF($A336="","",SUMIFS(WIPLog!$H:$H,WIPLog!$C:$C,$A336))</f>
        <v/>
      </c>
      <c r="M336" s="5" t="str">
        <f>IF($A336="","",SUMIFS(WIPLog!$I:$I,WIPLog!$C:$C,$A336))</f>
        <v/>
      </c>
      <c r="N336" s="5" t="str">
        <f>IF($A336="","",SUMIFS(WIPLog!$K:$K,WIPLog!$C:$C,$A336))</f>
        <v/>
      </c>
      <c r="O336" s="5" t="str">
        <f>IF($A336="","",SUMIFS('Delivery Log'!$E:$E,'Delivery Log'!$B:$B,$A336))</f>
        <v/>
      </c>
      <c r="P336" s="5" t="str">
        <f t="shared" si="10"/>
        <v/>
      </c>
      <c r="Q336" t="str">
        <f t="shared" si="11"/>
        <v/>
      </c>
    </row>
    <row r="337" spans="7:17">
      <c r="G337" s="5"/>
      <c r="H337" s="4"/>
      <c r="I337" s="4"/>
      <c r="K337" t="str">
        <f>IF($A337="","",IF($O337&gt;=$G337,"Delivered",IFERROR(LOOKUP(2,1/(WIPLog!$C$2:$C$1000=$A337),WIPLog!$F$2:$F$1000),"Not Started")))</f>
        <v/>
      </c>
      <c r="L337" s="5" t="str">
        <f>IF($A337="","",SUMIFS(WIPLog!$H:$H,WIPLog!$C:$C,$A337))</f>
        <v/>
      </c>
      <c r="M337" s="5" t="str">
        <f>IF($A337="","",SUMIFS(WIPLog!$I:$I,WIPLog!$C:$C,$A337))</f>
        <v/>
      </c>
      <c r="N337" s="5" t="str">
        <f>IF($A337="","",SUMIFS(WIPLog!$K:$K,WIPLog!$C:$C,$A337))</f>
        <v/>
      </c>
      <c r="O337" s="5" t="str">
        <f>IF($A337="","",SUMIFS('Delivery Log'!$E:$E,'Delivery Log'!$B:$B,$A337))</f>
        <v/>
      </c>
      <c r="P337" s="5" t="str">
        <f t="shared" si="10"/>
        <v/>
      </c>
      <c r="Q337" t="str">
        <f t="shared" si="11"/>
        <v/>
      </c>
    </row>
    <row r="338" spans="7:17">
      <c r="G338" s="5"/>
      <c r="H338" s="4"/>
      <c r="I338" s="4"/>
      <c r="K338" t="str">
        <f>IF($A338="","",IF($O338&gt;=$G338,"Delivered",IFERROR(LOOKUP(2,1/(WIPLog!$C$2:$C$1000=$A338),WIPLog!$F$2:$F$1000),"Not Started")))</f>
        <v/>
      </c>
      <c r="L338" s="5" t="str">
        <f>IF($A338="","",SUMIFS(WIPLog!$H:$H,WIPLog!$C:$C,$A338))</f>
        <v/>
      </c>
      <c r="M338" s="5" t="str">
        <f>IF($A338="","",SUMIFS(WIPLog!$I:$I,WIPLog!$C:$C,$A338))</f>
        <v/>
      </c>
      <c r="N338" s="5" t="str">
        <f>IF($A338="","",SUMIFS(WIPLog!$K:$K,WIPLog!$C:$C,$A338))</f>
        <v/>
      </c>
      <c r="O338" s="5" t="str">
        <f>IF($A338="","",SUMIFS('Delivery Log'!$E:$E,'Delivery Log'!$B:$B,$A338))</f>
        <v/>
      </c>
      <c r="P338" s="5" t="str">
        <f t="shared" si="10"/>
        <v/>
      </c>
      <c r="Q338" t="str">
        <f t="shared" si="11"/>
        <v/>
      </c>
    </row>
    <row r="339" spans="7:17">
      <c r="G339" s="5"/>
      <c r="H339" s="4"/>
      <c r="I339" s="4"/>
      <c r="K339" t="str">
        <f>IF($A339="","",IF($O339&gt;=$G339,"Delivered",IFERROR(LOOKUP(2,1/(WIPLog!$C$2:$C$1000=$A339),WIPLog!$F$2:$F$1000),"Not Started")))</f>
        <v/>
      </c>
      <c r="L339" s="5" t="str">
        <f>IF($A339="","",SUMIFS(WIPLog!$H:$H,WIPLog!$C:$C,$A339))</f>
        <v/>
      </c>
      <c r="M339" s="5" t="str">
        <f>IF($A339="","",SUMIFS(WIPLog!$I:$I,WIPLog!$C:$C,$A339))</f>
        <v/>
      </c>
      <c r="N339" s="5" t="str">
        <f>IF($A339="","",SUMIFS(WIPLog!$K:$K,WIPLog!$C:$C,$A339))</f>
        <v/>
      </c>
      <c r="O339" s="5" t="str">
        <f>IF($A339="","",SUMIFS('Delivery Log'!$E:$E,'Delivery Log'!$B:$B,$A339))</f>
        <v/>
      </c>
      <c r="P339" s="5" t="str">
        <f t="shared" si="10"/>
        <v/>
      </c>
      <c r="Q339" t="str">
        <f t="shared" si="11"/>
        <v/>
      </c>
    </row>
    <row r="340" spans="7:17">
      <c r="G340" s="5"/>
      <c r="H340" s="4"/>
      <c r="I340" s="4"/>
      <c r="K340" t="str">
        <f>IF($A340="","",IF($O340&gt;=$G340,"Delivered",IFERROR(LOOKUP(2,1/(WIPLog!$C$2:$C$1000=$A340),WIPLog!$F$2:$F$1000),"Not Started")))</f>
        <v/>
      </c>
      <c r="L340" s="5" t="str">
        <f>IF($A340="","",SUMIFS(WIPLog!$H:$H,WIPLog!$C:$C,$A340))</f>
        <v/>
      </c>
      <c r="M340" s="5" t="str">
        <f>IF($A340="","",SUMIFS(WIPLog!$I:$I,WIPLog!$C:$C,$A340))</f>
        <v/>
      </c>
      <c r="N340" s="5" t="str">
        <f>IF($A340="","",SUMIFS(WIPLog!$K:$K,WIPLog!$C:$C,$A340))</f>
        <v/>
      </c>
      <c r="O340" s="5" t="str">
        <f>IF($A340="","",SUMIFS('Delivery Log'!$E:$E,'Delivery Log'!$B:$B,$A340))</f>
        <v/>
      </c>
      <c r="P340" s="5" t="str">
        <f t="shared" si="10"/>
        <v/>
      </c>
      <c r="Q340" t="str">
        <f t="shared" si="11"/>
        <v/>
      </c>
    </row>
    <row r="341" spans="7:17">
      <c r="G341" s="5"/>
      <c r="H341" s="4"/>
      <c r="I341" s="4"/>
      <c r="K341" t="str">
        <f>IF($A341="","",IF($O341&gt;=$G341,"Delivered",IFERROR(LOOKUP(2,1/(WIPLog!$C$2:$C$1000=$A341),WIPLog!$F$2:$F$1000),"Not Started")))</f>
        <v/>
      </c>
      <c r="L341" s="5" t="str">
        <f>IF($A341="","",SUMIFS(WIPLog!$H:$H,WIPLog!$C:$C,$A341))</f>
        <v/>
      </c>
      <c r="M341" s="5" t="str">
        <f>IF($A341="","",SUMIFS(WIPLog!$I:$I,WIPLog!$C:$C,$A341))</f>
        <v/>
      </c>
      <c r="N341" s="5" t="str">
        <f>IF($A341="","",SUMIFS(WIPLog!$K:$K,WIPLog!$C:$C,$A341))</f>
        <v/>
      </c>
      <c r="O341" s="5" t="str">
        <f>IF($A341="","",SUMIFS('Delivery Log'!$E:$E,'Delivery Log'!$B:$B,$A341))</f>
        <v/>
      </c>
      <c r="P341" s="5" t="str">
        <f t="shared" si="10"/>
        <v/>
      </c>
      <c r="Q341" t="str">
        <f t="shared" si="11"/>
        <v/>
      </c>
    </row>
    <row r="342" spans="7:17">
      <c r="G342" s="5"/>
      <c r="H342" s="4"/>
      <c r="I342" s="4"/>
      <c r="K342" t="str">
        <f>IF($A342="","",IF($O342&gt;=$G342,"Delivered",IFERROR(LOOKUP(2,1/(WIPLog!$C$2:$C$1000=$A342),WIPLog!$F$2:$F$1000),"Not Started")))</f>
        <v/>
      </c>
      <c r="L342" s="5" t="str">
        <f>IF($A342="","",SUMIFS(WIPLog!$H:$H,WIPLog!$C:$C,$A342))</f>
        <v/>
      </c>
      <c r="M342" s="5" t="str">
        <f>IF($A342="","",SUMIFS(WIPLog!$I:$I,WIPLog!$C:$C,$A342))</f>
        <v/>
      </c>
      <c r="N342" s="5" t="str">
        <f>IF($A342="","",SUMIFS(WIPLog!$K:$K,WIPLog!$C:$C,$A342))</f>
        <v/>
      </c>
      <c r="O342" s="5" t="str">
        <f>IF($A342="","",SUMIFS('Delivery Log'!$E:$E,'Delivery Log'!$B:$B,$A342))</f>
        <v/>
      </c>
      <c r="P342" s="5" t="str">
        <f t="shared" si="10"/>
        <v/>
      </c>
      <c r="Q342" t="str">
        <f t="shared" si="11"/>
        <v/>
      </c>
    </row>
    <row r="343" spans="7:17">
      <c r="G343" s="5"/>
      <c r="H343" s="4"/>
      <c r="I343" s="4"/>
      <c r="K343" t="str">
        <f>IF($A343="","",IF($O343&gt;=$G343,"Delivered",IFERROR(LOOKUP(2,1/(WIPLog!$C$2:$C$1000=$A343),WIPLog!$F$2:$F$1000),"Not Started")))</f>
        <v/>
      </c>
      <c r="L343" s="5" t="str">
        <f>IF($A343="","",SUMIFS(WIPLog!$H:$H,WIPLog!$C:$C,$A343))</f>
        <v/>
      </c>
      <c r="M343" s="5" t="str">
        <f>IF($A343="","",SUMIFS(WIPLog!$I:$I,WIPLog!$C:$C,$A343))</f>
        <v/>
      </c>
      <c r="N343" s="5" t="str">
        <f>IF($A343="","",SUMIFS(WIPLog!$K:$K,WIPLog!$C:$C,$A343))</f>
        <v/>
      </c>
      <c r="O343" s="5" t="str">
        <f>IF($A343="","",SUMIFS('Delivery Log'!$E:$E,'Delivery Log'!$B:$B,$A343))</f>
        <v/>
      </c>
      <c r="P343" s="5" t="str">
        <f t="shared" si="10"/>
        <v/>
      </c>
      <c r="Q343" t="str">
        <f t="shared" si="11"/>
        <v/>
      </c>
    </row>
    <row r="344" spans="7:17">
      <c r="G344" s="5"/>
      <c r="H344" s="4"/>
      <c r="I344" s="4"/>
      <c r="K344" t="str">
        <f>IF($A344="","",IF($O344&gt;=$G344,"Delivered",IFERROR(LOOKUP(2,1/(WIPLog!$C$2:$C$1000=$A344),WIPLog!$F$2:$F$1000),"Not Started")))</f>
        <v/>
      </c>
      <c r="L344" s="5" t="str">
        <f>IF($A344="","",SUMIFS(WIPLog!$H:$H,WIPLog!$C:$C,$A344))</f>
        <v/>
      </c>
      <c r="M344" s="5" t="str">
        <f>IF($A344="","",SUMIFS(WIPLog!$I:$I,WIPLog!$C:$C,$A344))</f>
        <v/>
      </c>
      <c r="N344" s="5" t="str">
        <f>IF($A344="","",SUMIFS(WIPLog!$K:$K,WIPLog!$C:$C,$A344))</f>
        <v/>
      </c>
      <c r="O344" s="5" t="str">
        <f>IF($A344="","",SUMIFS('Delivery Log'!$E:$E,'Delivery Log'!$B:$B,$A344))</f>
        <v/>
      </c>
      <c r="P344" s="5" t="str">
        <f t="shared" si="10"/>
        <v/>
      </c>
      <c r="Q344" t="str">
        <f t="shared" si="11"/>
        <v/>
      </c>
    </row>
    <row r="345" spans="7:17">
      <c r="G345" s="5"/>
      <c r="H345" s="4"/>
      <c r="I345" s="4"/>
      <c r="K345" t="str">
        <f>IF($A345="","",IF($O345&gt;=$G345,"Delivered",IFERROR(LOOKUP(2,1/(WIPLog!$C$2:$C$1000=$A345),WIPLog!$F$2:$F$1000),"Not Started")))</f>
        <v/>
      </c>
      <c r="L345" s="5" t="str">
        <f>IF($A345="","",SUMIFS(WIPLog!$H:$H,WIPLog!$C:$C,$A345))</f>
        <v/>
      </c>
      <c r="M345" s="5" t="str">
        <f>IF($A345="","",SUMIFS(WIPLog!$I:$I,WIPLog!$C:$C,$A345))</f>
        <v/>
      </c>
      <c r="N345" s="5" t="str">
        <f>IF($A345="","",SUMIFS(WIPLog!$K:$K,WIPLog!$C:$C,$A345))</f>
        <v/>
      </c>
      <c r="O345" s="5" t="str">
        <f>IF($A345="","",SUMIFS('Delivery Log'!$E:$E,'Delivery Log'!$B:$B,$A345))</f>
        <v/>
      </c>
      <c r="P345" s="5" t="str">
        <f t="shared" si="10"/>
        <v/>
      </c>
      <c r="Q345" t="str">
        <f t="shared" si="11"/>
        <v/>
      </c>
    </row>
    <row r="346" spans="7:17">
      <c r="G346" s="5"/>
      <c r="H346" s="4"/>
      <c r="I346" s="4"/>
      <c r="K346" t="str">
        <f>IF($A346="","",IF($O346&gt;=$G346,"Delivered",IFERROR(LOOKUP(2,1/(WIPLog!$C$2:$C$1000=$A346),WIPLog!$F$2:$F$1000),"Not Started")))</f>
        <v/>
      </c>
      <c r="L346" s="5" t="str">
        <f>IF($A346="","",SUMIFS(WIPLog!$H:$H,WIPLog!$C:$C,$A346))</f>
        <v/>
      </c>
      <c r="M346" s="5" t="str">
        <f>IF($A346="","",SUMIFS(WIPLog!$I:$I,WIPLog!$C:$C,$A346))</f>
        <v/>
      </c>
      <c r="N346" s="5" t="str">
        <f>IF($A346="","",SUMIFS(WIPLog!$K:$K,WIPLog!$C:$C,$A346))</f>
        <v/>
      </c>
      <c r="O346" s="5" t="str">
        <f>IF($A346="","",SUMIFS('Delivery Log'!$E:$E,'Delivery Log'!$B:$B,$A346))</f>
        <v/>
      </c>
      <c r="P346" s="5" t="str">
        <f t="shared" si="10"/>
        <v/>
      </c>
      <c r="Q346" t="str">
        <f t="shared" si="11"/>
        <v/>
      </c>
    </row>
    <row r="347" spans="7:17">
      <c r="G347" s="5"/>
      <c r="H347" s="4"/>
      <c r="I347" s="4"/>
      <c r="K347" t="str">
        <f>IF($A347="","",IF($O347&gt;=$G347,"Delivered",IFERROR(LOOKUP(2,1/(WIPLog!$C$2:$C$1000=$A347),WIPLog!$F$2:$F$1000),"Not Started")))</f>
        <v/>
      </c>
      <c r="L347" s="5" t="str">
        <f>IF($A347="","",SUMIFS(WIPLog!$H:$H,WIPLog!$C:$C,$A347))</f>
        <v/>
      </c>
      <c r="M347" s="5" t="str">
        <f>IF($A347="","",SUMIFS(WIPLog!$I:$I,WIPLog!$C:$C,$A347))</f>
        <v/>
      </c>
      <c r="N347" s="5" t="str">
        <f>IF($A347="","",SUMIFS(WIPLog!$K:$K,WIPLog!$C:$C,$A347))</f>
        <v/>
      </c>
      <c r="O347" s="5" t="str">
        <f>IF($A347="","",SUMIFS('Delivery Log'!$E:$E,'Delivery Log'!$B:$B,$A347))</f>
        <v/>
      </c>
      <c r="P347" s="5" t="str">
        <f t="shared" si="10"/>
        <v/>
      </c>
      <c r="Q347" t="str">
        <f t="shared" si="11"/>
        <v/>
      </c>
    </row>
    <row r="348" spans="7:17">
      <c r="G348" s="5"/>
      <c r="H348" s="4"/>
      <c r="I348" s="4"/>
      <c r="K348" t="str">
        <f>IF($A348="","",IF($O348&gt;=$G348,"Delivered",IFERROR(LOOKUP(2,1/(WIPLog!$C$2:$C$1000=$A348),WIPLog!$F$2:$F$1000),"Not Started")))</f>
        <v/>
      </c>
      <c r="L348" s="5" t="str">
        <f>IF($A348="","",SUMIFS(WIPLog!$H:$H,WIPLog!$C:$C,$A348))</f>
        <v/>
      </c>
      <c r="M348" s="5" t="str">
        <f>IF($A348="","",SUMIFS(WIPLog!$I:$I,WIPLog!$C:$C,$A348))</f>
        <v/>
      </c>
      <c r="N348" s="5" t="str">
        <f>IF($A348="","",SUMIFS(WIPLog!$K:$K,WIPLog!$C:$C,$A348))</f>
        <v/>
      </c>
      <c r="O348" s="5" t="str">
        <f>IF($A348="","",SUMIFS('Delivery Log'!$E:$E,'Delivery Log'!$B:$B,$A348))</f>
        <v/>
      </c>
      <c r="P348" s="5" t="str">
        <f t="shared" si="10"/>
        <v/>
      </c>
      <c r="Q348" t="str">
        <f t="shared" si="11"/>
        <v/>
      </c>
    </row>
    <row r="349" spans="7:17">
      <c r="G349" s="5"/>
      <c r="H349" s="4"/>
      <c r="I349" s="4"/>
      <c r="K349" t="str">
        <f>IF($A349="","",IF($O349&gt;=$G349,"Delivered",IFERROR(LOOKUP(2,1/(WIPLog!$C$2:$C$1000=$A349),WIPLog!$F$2:$F$1000),"Not Started")))</f>
        <v/>
      </c>
      <c r="L349" s="5" t="str">
        <f>IF($A349="","",SUMIFS(WIPLog!$H:$H,WIPLog!$C:$C,$A349))</f>
        <v/>
      </c>
      <c r="M349" s="5" t="str">
        <f>IF($A349="","",SUMIFS(WIPLog!$I:$I,WIPLog!$C:$C,$A349))</f>
        <v/>
      </c>
      <c r="N349" s="5" t="str">
        <f>IF($A349="","",SUMIFS(WIPLog!$K:$K,WIPLog!$C:$C,$A349))</f>
        <v/>
      </c>
      <c r="O349" s="5" t="str">
        <f>IF($A349="","",SUMIFS('Delivery Log'!$E:$E,'Delivery Log'!$B:$B,$A349))</f>
        <v/>
      </c>
      <c r="P349" s="5" t="str">
        <f t="shared" si="10"/>
        <v/>
      </c>
      <c r="Q349" t="str">
        <f t="shared" si="11"/>
        <v/>
      </c>
    </row>
    <row r="350" spans="7:17">
      <c r="G350" s="5"/>
      <c r="H350" s="4"/>
      <c r="I350" s="4"/>
      <c r="K350" t="str">
        <f>IF($A350="","",IF($O350&gt;=$G350,"Delivered",IFERROR(LOOKUP(2,1/(WIPLog!$C$2:$C$1000=$A350),WIPLog!$F$2:$F$1000),"Not Started")))</f>
        <v/>
      </c>
      <c r="L350" s="5" t="str">
        <f>IF($A350="","",SUMIFS(WIPLog!$H:$H,WIPLog!$C:$C,$A350))</f>
        <v/>
      </c>
      <c r="M350" s="5" t="str">
        <f>IF($A350="","",SUMIFS(WIPLog!$I:$I,WIPLog!$C:$C,$A350))</f>
        <v/>
      </c>
      <c r="N350" s="5" t="str">
        <f>IF($A350="","",SUMIFS(WIPLog!$K:$K,WIPLog!$C:$C,$A350))</f>
        <v/>
      </c>
      <c r="O350" s="5" t="str">
        <f>IF($A350="","",SUMIFS('Delivery Log'!$E:$E,'Delivery Log'!$B:$B,$A350))</f>
        <v/>
      </c>
      <c r="P350" s="5" t="str">
        <f t="shared" si="10"/>
        <v/>
      </c>
      <c r="Q350" t="str">
        <f t="shared" si="11"/>
        <v/>
      </c>
    </row>
    <row r="351" spans="7:17">
      <c r="G351" s="5"/>
      <c r="H351" s="4"/>
      <c r="I351" s="4"/>
      <c r="K351" t="str">
        <f>IF($A351="","",IF($O351&gt;=$G351,"Delivered",IFERROR(LOOKUP(2,1/(WIPLog!$C$2:$C$1000=$A351),WIPLog!$F$2:$F$1000),"Not Started")))</f>
        <v/>
      </c>
      <c r="L351" s="5" t="str">
        <f>IF($A351="","",SUMIFS(WIPLog!$H:$H,WIPLog!$C:$C,$A351))</f>
        <v/>
      </c>
      <c r="M351" s="5" t="str">
        <f>IF($A351="","",SUMIFS(WIPLog!$I:$I,WIPLog!$C:$C,$A351))</f>
        <v/>
      </c>
      <c r="N351" s="5" t="str">
        <f>IF($A351="","",SUMIFS(WIPLog!$K:$K,WIPLog!$C:$C,$A351))</f>
        <v/>
      </c>
      <c r="O351" s="5" t="str">
        <f>IF($A351="","",SUMIFS('Delivery Log'!$E:$E,'Delivery Log'!$B:$B,$A351))</f>
        <v/>
      </c>
      <c r="P351" s="5" t="str">
        <f t="shared" si="10"/>
        <v/>
      </c>
      <c r="Q351" t="str">
        <f t="shared" si="11"/>
        <v/>
      </c>
    </row>
    <row r="352" spans="7:17">
      <c r="G352" s="5"/>
      <c r="H352" s="4"/>
      <c r="I352" s="4"/>
      <c r="K352" t="str">
        <f>IF($A352="","",IF($O352&gt;=$G352,"Delivered",IFERROR(LOOKUP(2,1/(WIPLog!$C$2:$C$1000=$A352),WIPLog!$F$2:$F$1000),"Not Started")))</f>
        <v/>
      </c>
      <c r="L352" s="5" t="str">
        <f>IF($A352="","",SUMIFS(WIPLog!$H:$H,WIPLog!$C:$C,$A352))</f>
        <v/>
      </c>
      <c r="M352" s="5" t="str">
        <f>IF($A352="","",SUMIFS(WIPLog!$I:$I,WIPLog!$C:$C,$A352))</f>
        <v/>
      </c>
      <c r="N352" s="5" t="str">
        <f>IF($A352="","",SUMIFS(WIPLog!$K:$K,WIPLog!$C:$C,$A352))</f>
        <v/>
      </c>
      <c r="O352" s="5" t="str">
        <f>IF($A352="","",SUMIFS('Delivery Log'!$E:$E,'Delivery Log'!$B:$B,$A352))</f>
        <v/>
      </c>
      <c r="P352" s="5" t="str">
        <f t="shared" si="10"/>
        <v/>
      </c>
      <c r="Q352" t="str">
        <f t="shared" si="11"/>
        <v/>
      </c>
    </row>
    <row r="353" spans="7:17">
      <c r="G353" s="5"/>
      <c r="H353" s="4"/>
      <c r="I353" s="4"/>
      <c r="K353" t="str">
        <f>IF($A353="","",IF($O353&gt;=$G353,"Delivered",IFERROR(LOOKUP(2,1/(WIPLog!$C$2:$C$1000=$A353),WIPLog!$F$2:$F$1000),"Not Started")))</f>
        <v/>
      </c>
      <c r="L353" s="5" t="str">
        <f>IF($A353="","",SUMIFS(WIPLog!$H:$H,WIPLog!$C:$C,$A353))</f>
        <v/>
      </c>
      <c r="M353" s="5" t="str">
        <f>IF($A353="","",SUMIFS(WIPLog!$I:$I,WIPLog!$C:$C,$A353))</f>
        <v/>
      </c>
      <c r="N353" s="5" t="str">
        <f>IF($A353="","",SUMIFS(WIPLog!$K:$K,WIPLog!$C:$C,$A353))</f>
        <v/>
      </c>
      <c r="O353" s="5" t="str">
        <f>IF($A353="","",SUMIFS('Delivery Log'!$E:$E,'Delivery Log'!$B:$B,$A353))</f>
        <v/>
      </c>
      <c r="P353" s="5" t="str">
        <f t="shared" si="10"/>
        <v/>
      </c>
      <c r="Q353" t="str">
        <f t="shared" si="11"/>
        <v/>
      </c>
    </row>
    <row r="354" spans="7:17">
      <c r="G354" s="5"/>
      <c r="H354" s="4"/>
      <c r="I354" s="4"/>
      <c r="K354" t="str">
        <f>IF($A354="","",IF($O354&gt;=$G354,"Delivered",IFERROR(LOOKUP(2,1/(WIPLog!$C$2:$C$1000=$A354),WIPLog!$F$2:$F$1000),"Not Started")))</f>
        <v/>
      </c>
      <c r="L354" s="5" t="str">
        <f>IF($A354="","",SUMIFS(WIPLog!$H:$H,WIPLog!$C:$C,$A354))</f>
        <v/>
      </c>
      <c r="M354" s="5" t="str">
        <f>IF($A354="","",SUMIFS(WIPLog!$I:$I,WIPLog!$C:$C,$A354))</f>
        <v/>
      </c>
      <c r="N354" s="5" t="str">
        <f>IF($A354="","",SUMIFS(WIPLog!$K:$K,WIPLog!$C:$C,$A354))</f>
        <v/>
      </c>
      <c r="O354" s="5" t="str">
        <f>IF($A354="","",SUMIFS('Delivery Log'!$E:$E,'Delivery Log'!$B:$B,$A354))</f>
        <v/>
      </c>
      <c r="P354" s="5" t="str">
        <f t="shared" si="10"/>
        <v/>
      </c>
      <c r="Q354" t="str">
        <f t="shared" si="11"/>
        <v/>
      </c>
    </row>
    <row r="355" spans="7:17">
      <c r="G355" s="5"/>
      <c r="H355" s="4"/>
      <c r="I355" s="4"/>
      <c r="K355" t="str">
        <f>IF($A355="","",IF($O355&gt;=$G355,"Delivered",IFERROR(LOOKUP(2,1/(WIPLog!$C$2:$C$1000=$A355),WIPLog!$F$2:$F$1000),"Not Started")))</f>
        <v/>
      </c>
      <c r="L355" s="5" t="str">
        <f>IF($A355="","",SUMIFS(WIPLog!$H:$H,WIPLog!$C:$C,$A355))</f>
        <v/>
      </c>
      <c r="M355" s="5" t="str">
        <f>IF($A355="","",SUMIFS(WIPLog!$I:$I,WIPLog!$C:$C,$A355))</f>
        <v/>
      </c>
      <c r="N355" s="5" t="str">
        <f>IF($A355="","",SUMIFS(WIPLog!$K:$K,WIPLog!$C:$C,$A355))</f>
        <v/>
      </c>
      <c r="O355" s="5" t="str">
        <f>IF($A355="","",SUMIFS('Delivery Log'!$E:$E,'Delivery Log'!$B:$B,$A355))</f>
        <v/>
      </c>
      <c r="P355" s="5" t="str">
        <f t="shared" si="10"/>
        <v/>
      </c>
      <c r="Q355" t="str">
        <f t="shared" si="11"/>
        <v/>
      </c>
    </row>
    <row r="356" spans="7:17">
      <c r="G356" s="5"/>
      <c r="H356" s="4"/>
      <c r="I356" s="4"/>
      <c r="K356" t="str">
        <f>IF($A356="","",IF($O356&gt;=$G356,"Delivered",IFERROR(LOOKUP(2,1/(WIPLog!$C$2:$C$1000=$A356),WIPLog!$F$2:$F$1000),"Not Started")))</f>
        <v/>
      </c>
      <c r="L356" s="5" t="str">
        <f>IF($A356="","",SUMIFS(WIPLog!$H:$H,WIPLog!$C:$C,$A356))</f>
        <v/>
      </c>
      <c r="M356" s="5" t="str">
        <f>IF($A356="","",SUMIFS(WIPLog!$I:$I,WIPLog!$C:$C,$A356))</f>
        <v/>
      </c>
      <c r="N356" s="5" t="str">
        <f>IF($A356="","",SUMIFS(WIPLog!$K:$K,WIPLog!$C:$C,$A356))</f>
        <v/>
      </c>
      <c r="O356" s="5" t="str">
        <f>IF($A356="","",SUMIFS('Delivery Log'!$E:$E,'Delivery Log'!$B:$B,$A356))</f>
        <v/>
      </c>
      <c r="P356" s="5" t="str">
        <f t="shared" si="10"/>
        <v/>
      </c>
      <c r="Q356" t="str">
        <f t="shared" si="11"/>
        <v/>
      </c>
    </row>
    <row r="357" spans="7:17">
      <c r="G357" s="5"/>
      <c r="H357" s="4"/>
      <c r="I357" s="4"/>
      <c r="K357" t="str">
        <f>IF($A357="","",IF($O357&gt;=$G357,"Delivered",IFERROR(LOOKUP(2,1/(WIPLog!$C$2:$C$1000=$A357),WIPLog!$F$2:$F$1000),"Not Started")))</f>
        <v/>
      </c>
      <c r="L357" s="5" t="str">
        <f>IF($A357="","",SUMIFS(WIPLog!$H:$H,WIPLog!$C:$C,$A357))</f>
        <v/>
      </c>
      <c r="M357" s="5" t="str">
        <f>IF($A357="","",SUMIFS(WIPLog!$I:$I,WIPLog!$C:$C,$A357))</f>
        <v/>
      </c>
      <c r="N357" s="5" t="str">
        <f>IF($A357="","",SUMIFS(WIPLog!$K:$K,WIPLog!$C:$C,$A357))</f>
        <v/>
      </c>
      <c r="O357" s="5" t="str">
        <f>IF($A357="","",SUMIFS('Delivery Log'!$E:$E,'Delivery Log'!$B:$B,$A357))</f>
        <v/>
      </c>
      <c r="P357" s="5" t="str">
        <f t="shared" si="10"/>
        <v/>
      </c>
      <c r="Q357" t="str">
        <f t="shared" si="11"/>
        <v/>
      </c>
    </row>
    <row r="358" spans="7:17">
      <c r="G358" s="5"/>
      <c r="H358" s="4"/>
      <c r="I358" s="4"/>
      <c r="K358" t="str">
        <f>IF($A358="","",IF($O358&gt;=$G358,"Delivered",IFERROR(LOOKUP(2,1/(WIPLog!$C$2:$C$1000=$A358),WIPLog!$F$2:$F$1000),"Not Started")))</f>
        <v/>
      </c>
      <c r="L358" s="5" t="str">
        <f>IF($A358="","",SUMIFS(WIPLog!$H:$H,WIPLog!$C:$C,$A358))</f>
        <v/>
      </c>
      <c r="M358" s="5" t="str">
        <f>IF($A358="","",SUMIFS(WIPLog!$I:$I,WIPLog!$C:$C,$A358))</f>
        <v/>
      </c>
      <c r="N358" s="5" t="str">
        <f>IF($A358="","",SUMIFS(WIPLog!$K:$K,WIPLog!$C:$C,$A358))</f>
        <v/>
      </c>
      <c r="O358" s="5" t="str">
        <f>IF($A358="","",SUMIFS('Delivery Log'!$E:$E,'Delivery Log'!$B:$B,$A358))</f>
        <v/>
      </c>
      <c r="P358" s="5" t="str">
        <f t="shared" si="10"/>
        <v/>
      </c>
      <c r="Q358" t="str">
        <f t="shared" si="11"/>
        <v/>
      </c>
    </row>
    <row r="359" spans="7:17">
      <c r="G359" s="5"/>
      <c r="H359" s="4"/>
      <c r="I359" s="4"/>
      <c r="K359" t="str">
        <f>IF($A359="","",IF($O359&gt;=$G359,"Delivered",IFERROR(LOOKUP(2,1/(WIPLog!$C$2:$C$1000=$A359),WIPLog!$F$2:$F$1000),"Not Started")))</f>
        <v/>
      </c>
      <c r="L359" s="5" t="str">
        <f>IF($A359="","",SUMIFS(WIPLog!$H:$H,WIPLog!$C:$C,$A359))</f>
        <v/>
      </c>
      <c r="M359" s="5" t="str">
        <f>IF($A359="","",SUMIFS(WIPLog!$I:$I,WIPLog!$C:$C,$A359))</f>
        <v/>
      </c>
      <c r="N359" s="5" t="str">
        <f>IF($A359="","",SUMIFS(WIPLog!$K:$K,WIPLog!$C:$C,$A359))</f>
        <v/>
      </c>
      <c r="O359" s="5" t="str">
        <f>IF($A359="","",SUMIFS('Delivery Log'!$E:$E,'Delivery Log'!$B:$B,$A359))</f>
        <v/>
      </c>
      <c r="P359" s="5" t="str">
        <f t="shared" si="10"/>
        <v/>
      </c>
      <c r="Q359" t="str">
        <f t="shared" si="11"/>
        <v/>
      </c>
    </row>
    <row r="360" spans="7:17">
      <c r="G360" s="5"/>
      <c r="H360" s="4"/>
      <c r="I360" s="4"/>
      <c r="K360" t="str">
        <f>IF($A360="","",IF($O360&gt;=$G360,"Delivered",IFERROR(LOOKUP(2,1/(WIPLog!$C$2:$C$1000=$A360),WIPLog!$F$2:$F$1000),"Not Started")))</f>
        <v/>
      </c>
      <c r="L360" s="5" t="str">
        <f>IF($A360="","",SUMIFS(WIPLog!$H:$H,WIPLog!$C:$C,$A360))</f>
        <v/>
      </c>
      <c r="M360" s="5" t="str">
        <f>IF($A360="","",SUMIFS(WIPLog!$I:$I,WIPLog!$C:$C,$A360))</f>
        <v/>
      </c>
      <c r="N360" s="5" t="str">
        <f>IF($A360="","",SUMIFS(WIPLog!$K:$K,WIPLog!$C:$C,$A360))</f>
        <v/>
      </c>
      <c r="O360" s="5" t="str">
        <f>IF($A360="","",SUMIFS('Delivery Log'!$E:$E,'Delivery Log'!$B:$B,$A360))</f>
        <v/>
      </c>
      <c r="P360" s="5" t="str">
        <f t="shared" si="10"/>
        <v/>
      </c>
      <c r="Q360" t="str">
        <f t="shared" si="11"/>
        <v/>
      </c>
    </row>
    <row r="361" spans="7:17">
      <c r="G361" s="5"/>
      <c r="H361" s="4"/>
      <c r="I361" s="4"/>
      <c r="K361" t="str">
        <f>IF($A361="","",IF($O361&gt;=$G361,"Delivered",IFERROR(LOOKUP(2,1/(WIPLog!$C$2:$C$1000=$A361),WIPLog!$F$2:$F$1000),"Not Started")))</f>
        <v/>
      </c>
      <c r="L361" s="5" t="str">
        <f>IF($A361="","",SUMIFS(WIPLog!$H:$H,WIPLog!$C:$C,$A361))</f>
        <v/>
      </c>
      <c r="M361" s="5" t="str">
        <f>IF($A361="","",SUMIFS(WIPLog!$I:$I,WIPLog!$C:$C,$A361))</f>
        <v/>
      </c>
      <c r="N361" s="5" t="str">
        <f>IF($A361="","",SUMIFS(WIPLog!$K:$K,WIPLog!$C:$C,$A361))</f>
        <v/>
      </c>
      <c r="O361" s="5" t="str">
        <f>IF($A361="","",SUMIFS('Delivery Log'!$E:$E,'Delivery Log'!$B:$B,$A361))</f>
        <v/>
      </c>
      <c r="P361" s="5" t="str">
        <f t="shared" si="10"/>
        <v/>
      </c>
      <c r="Q361" t="str">
        <f t="shared" si="11"/>
        <v/>
      </c>
    </row>
    <row r="362" spans="7:17">
      <c r="G362" s="5"/>
      <c r="H362" s="4"/>
      <c r="I362" s="4"/>
      <c r="K362" t="str">
        <f>IF($A362="","",IF($O362&gt;=$G362,"Delivered",IFERROR(LOOKUP(2,1/(WIPLog!$C$2:$C$1000=$A362),WIPLog!$F$2:$F$1000),"Not Started")))</f>
        <v/>
      </c>
      <c r="L362" s="5" t="str">
        <f>IF($A362="","",SUMIFS(WIPLog!$H:$H,WIPLog!$C:$C,$A362))</f>
        <v/>
      </c>
      <c r="M362" s="5" t="str">
        <f>IF($A362="","",SUMIFS(WIPLog!$I:$I,WIPLog!$C:$C,$A362))</f>
        <v/>
      </c>
      <c r="N362" s="5" t="str">
        <f>IF($A362="","",SUMIFS(WIPLog!$K:$K,WIPLog!$C:$C,$A362))</f>
        <v/>
      </c>
      <c r="O362" s="5" t="str">
        <f>IF($A362="","",SUMIFS('Delivery Log'!$E:$E,'Delivery Log'!$B:$B,$A362))</f>
        <v/>
      </c>
      <c r="P362" s="5" t="str">
        <f t="shared" si="10"/>
        <v/>
      </c>
      <c r="Q362" t="str">
        <f t="shared" si="11"/>
        <v/>
      </c>
    </row>
    <row r="363" spans="7:17">
      <c r="G363" s="5"/>
      <c r="H363" s="4"/>
      <c r="I363" s="4"/>
      <c r="K363" t="str">
        <f>IF($A363="","",IF($O363&gt;=$G363,"Delivered",IFERROR(LOOKUP(2,1/(WIPLog!$C$2:$C$1000=$A363),WIPLog!$F$2:$F$1000),"Not Started")))</f>
        <v/>
      </c>
      <c r="L363" s="5" t="str">
        <f>IF($A363="","",SUMIFS(WIPLog!$H:$H,WIPLog!$C:$C,$A363))</f>
        <v/>
      </c>
      <c r="M363" s="5" t="str">
        <f>IF($A363="","",SUMIFS(WIPLog!$I:$I,WIPLog!$C:$C,$A363))</f>
        <v/>
      </c>
      <c r="N363" s="5" t="str">
        <f>IF($A363="","",SUMIFS(WIPLog!$K:$K,WIPLog!$C:$C,$A363))</f>
        <v/>
      </c>
      <c r="O363" s="5" t="str">
        <f>IF($A363="","",SUMIFS('Delivery Log'!$E:$E,'Delivery Log'!$B:$B,$A363))</f>
        <v/>
      </c>
      <c r="P363" s="5" t="str">
        <f t="shared" si="10"/>
        <v/>
      </c>
      <c r="Q363" t="str">
        <f t="shared" si="11"/>
        <v/>
      </c>
    </row>
    <row r="364" spans="7:17">
      <c r="G364" s="5"/>
      <c r="H364" s="4"/>
      <c r="I364" s="4"/>
      <c r="K364" t="str">
        <f>IF($A364="","",IF($O364&gt;=$G364,"Delivered",IFERROR(LOOKUP(2,1/(WIPLog!$C$2:$C$1000=$A364),WIPLog!$F$2:$F$1000),"Not Started")))</f>
        <v/>
      </c>
      <c r="L364" s="5" t="str">
        <f>IF($A364="","",SUMIFS(WIPLog!$H:$H,WIPLog!$C:$C,$A364))</f>
        <v/>
      </c>
      <c r="M364" s="5" t="str">
        <f>IF($A364="","",SUMIFS(WIPLog!$I:$I,WIPLog!$C:$C,$A364))</f>
        <v/>
      </c>
      <c r="N364" s="5" t="str">
        <f>IF($A364="","",SUMIFS(WIPLog!$K:$K,WIPLog!$C:$C,$A364))</f>
        <v/>
      </c>
      <c r="O364" s="5" t="str">
        <f>IF($A364="","",SUMIFS('Delivery Log'!$E:$E,'Delivery Log'!$B:$B,$A364))</f>
        <v/>
      </c>
      <c r="P364" s="5" t="str">
        <f t="shared" si="10"/>
        <v/>
      </c>
      <c r="Q364" t="str">
        <f t="shared" si="11"/>
        <v/>
      </c>
    </row>
    <row r="365" spans="7:17">
      <c r="G365" s="5"/>
      <c r="H365" s="4"/>
      <c r="I365" s="4"/>
      <c r="K365" t="str">
        <f>IF($A365="","",IF($O365&gt;=$G365,"Delivered",IFERROR(LOOKUP(2,1/(WIPLog!$C$2:$C$1000=$A365),WIPLog!$F$2:$F$1000),"Not Started")))</f>
        <v/>
      </c>
      <c r="L365" s="5" t="str">
        <f>IF($A365="","",SUMIFS(WIPLog!$H:$H,WIPLog!$C:$C,$A365))</f>
        <v/>
      </c>
      <c r="M365" s="5" t="str">
        <f>IF($A365="","",SUMIFS(WIPLog!$I:$I,WIPLog!$C:$C,$A365))</f>
        <v/>
      </c>
      <c r="N365" s="5" t="str">
        <f>IF($A365="","",SUMIFS(WIPLog!$K:$K,WIPLog!$C:$C,$A365))</f>
        <v/>
      </c>
      <c r="O365" s="5" t="str">
        <f>IF($A365="","",SUMIFS('Delivery Log'!$E:$E,'Delivery Log'!$B:$B,$A365))</f>
        <v/>
      </c>
      <c r="P365" s="5" t="str">
        <f t="shared" si="10"/>
        <v/>
      </c>
      <c r="Q365" t="str">
        <f t="shared" si="11"/>
        <v/>
      </c>
    </row>
    <row r="366" spans="7:17">
      <c r="G366" s="5"/>
      <c r="H366" s="4"/>
      <c r="I366" s="4"/>
      <c r="K366" t="str">
        <f>IF($A366="","",IF($O366&gt;=$G366,"Delivered",IFERROR(LOOKUP(2,1/(WIPLog!$C$2:$C$1000=$A366),WIPLog!$F$2:$F$1000),"Not Started")))</f>
        <v/>
      </c>
      <c r="L366" s="5" t="str">
        <f>IF($A366="","",SUMIFS(WIPLog!$H:$H,WIPLog!$C:$C,$A366))</f>
        <v/>
      </c>
      <c r="M366" s="5" t="str">
        <f>IF($A366="","",SUMIFS(WIPLog!$I:$I,WIPLog!$C:$C,$A366))</f>
        <v/>
      </c>
      <c r="N366" s="5" t="str">
        <f>IF($A366="","",SUMIFS(WIPLog!$K:$K,WIPLog!$C:$C,$A366))</f>
        <v/>
      </c>
      <c r="O366" s="5" t="str">
        <f>IF($A366="","",SUMIFS('Delivery Log'!$E:$E,'Delivery Log'!$B:$B,$A366))</f>
        <v/>
      </c>
      <c r="P366" s="5" t="str">
        <f t="shared" si="10"/>
        <v/>
      </c>
      <c r="Q366" t="str">
        <f t="shared" si="11"/>
        <v/>
      </c>
    </row>
    <row r="367" spans="7:17">
      <c r="G367" s="5"/>
      <c r="H367" s="4"/>
      <c r="I367" s="4"/>
      <c r="K367" t="str">
        <f>IF($A367="","",IF($O367&gt;=$G367,"Delivered",IFERROR(LOOKUP(2,1/(WIPLog!$C$2:$C$1000=$A367),WIPLog!$F$2:$F$1000),"Not Started")))</f>
        <v/>
      </c>
      <c r="L367" s="5" t="str">
        <f>IF($A367="","",SUMIFS(WIPLog!$H:$H,WIPLog!$C:$C,$A367))</f>
        <v/>
      </c>
      <c r="M367" s="5" t="str">
        <f>IF($A367="","",SUMIFS(WIPLog!$I:$I,WIPLog!$C:$C,$A367))</f>
        <v/>
      </c>
      <c r="N367" s="5" t="str">
        <f>IF($A367="","",SUMIFS(WIPLog!$K:$K,WIPLog!$C:$C,$A367))</f>
        <v/>
      </c>
      <c r="O367" s="5" t="str">
        <f>IF($A367="","",SUMIFS('Delivery Log'!$E:$E,'Delivery Log'!$B:$B,$A367))</f>
        <v/>
      </c>
      <c r="P367" s="5" t="str">
        <f t="shared" si="10"/>
        <v/>
      </c>
      <c r="Q367" t="str">
        <f t="shared" si="11"/>
        <v/>
      </c>
    </row>
    <row r="368" spans="7:17">
      <c r="G368" s="5"/>
      <c r="H368" s="4"/>
      <c r="I368" s="4"/>
      <c r="K368" t="str">
        <f>IF($A368="","",IF($O368&gt;=$G368,"Delivered",IFERROR(LOOKUP(2,1/(WIPLog!$C$2:$C$1000=$A368),WIPLog!$F$2:$F$1000),"Not Started")))</f>
        <v/>
      </c>
      <c r="L368" s="5" t="str">
        <f>IF($A368="","",SUMIFS(WIPLog!$H:$H,WIPLog!$C:$C,$A368))</f>
        <v/>
      </c>
      <c r="M368" s="5" t="str">
        <f>IF($A368="","",SUMIFS(WIPLog!$I:$I,WIPLog!$C:$C,$A368))</f>
        <v/>
      </c>
      <c r="N368" s="5" t="str">
        <f>IF($A368="","",SUMIFS(WIPLog!$K:$K,WIPLog!$C:$C,$A368))</f>
        <v/>
      </c>
      <c r="O368" s="5" t="str">
        <f>IF($A368="","",SUMIFS('Delivery Log'!$E:$E,'Delivery Log'!$B:$B,$A368))</f>
        <v/>
      </c>
      <c r="P368" s="5" t="str">
        <f t="shared" si="10"/>
        <v/>
      </c>
      <c r="Q368" t="str">
        <f t="shared" si="11"/>
        <v/>
      </c>
    </row>
    <row r="369" spans="7:17">
      <c r="G369" s="5"/>
      <c r="H369" s="4"/>
      <c r="I369" s="4"/>
      <c r="K369" t="str">
        <f>IF($A369="","",IF($O369&gt;=$G369,"Delivered",IFERROR(LOOKUP(2,1/(WIPLog!$C$2:$C$1000=$A369),WIPLog!$F$2:$F$1000),"Not Started")))</f>
        <v/>
      </c>
      <c r="L369" s="5" t="str">
        <f>IF($A369="","",SUMIFS(WIPLog!$H:$H,WIPLog!$C:$C,$A369))</f>
        <v/>
      </c>
      <c r="M369" s="5" t="str">
        <f>IF($A369="","",SUMIFS(WIPLog!$I:$I,WIPLog!$C:$C,$A369))</f>
        <v/>
      </c>
      <c r="N369" s="5" t="str">
        <f>IF($A369="","",SUMIFS(WIPLog!$K:$K,WIPLog!$C:$C,$A369))</f>
        <v/>
      </c>
      <c r="O369" s="5" t="str">
        <f>IF($A369="","",SUMIFS('Delivery Log'!$E:$E,'Delivery Log'!$B:$B,$A369))</f>
        <v/>
      </c>
      <c r="P369" s="5" t="str">
        <f t="shared" si="10"/>
        <v/>
      </c>
      <c r="Q369" t="str">
        <f t="shared" si="11"/>
        <v/>
      </c>
    </row>
    <row r="370" spans="7:17">
      <c r="G370" s="5"/>
      <c r="H370" s="4"/>
      <c r="I370" s="4"/>
      <c r="K370" t="str">
        <f>IF($A370="","",IF($O370&gt;=$G370,"Delivered",IFERROR(LOOKUP(2,1/(WIPLog!$C$2:$C$1000=$A370),WIPLog!$F$2:$F$1000),"Not Started")))</f>
        <v/>
      </c>
      <c r="L370" s="5" t="str">
        <f>IF($A370="","",SUMIFS(WIPLog!$H:$H,WIPLog!$C:$C,$A370))</f>
        <v/>
      </c>
      <c r="M370" s="5" t="str">
        <f>IF($A370="","",SUMIFS(WIPLog!$I:$I,WIPLog!$C:$C,$A370))</f>
        <v/>
      </c>
      <c r="N370" s="5" t="str">
        <f>IF($A370="","",SUMIFS(WIPLog!$K:$K,WIPLog!$C:$C,$A370))</f>
        <v/>
      </c>
      <c r="O370" s="5" t="str">
        <f>IF($A370="","",SUMIFS('Delivery Log'!$E:$E,'Delivery Log'!$B:$B,$A370))</f>
        <v/>
      </c>
      <c r="P370" s="5" t="str">
        <f t="shared" si="10"/>
        <v/>
      </c>
      <c r="Q370" t="str">
        <f t="shared" si="11"/>
        <v/>
      </c>
    </row>
    <row r="371" spans="7:17">
      <c r="G371" s="5"/>
      <c r="H371" s="4"/>
      <c r="I371" s="4"/>
      <c r="K371" t="str">
        <f>IF($A371="","",IF($O371&gt;=$G371,"Delivered",IFERROR(LOOKUP(2,1/(WIPLog!$C$2:$C$1000=$A371),WIPLog!$F$2:$F$1000),"Not Started")))</f>
        <v/>
      </c>
      <c r="L371" s="5" t="str">
        <f>IF($A371="","",SUMIFS(WIPLog!$H:$H,WIPLog!$C:$C,$A371))</f>
        <v/>
      </c>
      <c r="M371" s="5" t="str">
        <f>IF($A371="","",SUMIFS(WIPLog!$I:$I,WIPLog!$C:$C,$A371))</f>
        <v/>
      </c>
      <c r="N371" s="5" t="str">
        <f>IF($A371="","",SUMIFS(WIPLog!$K:$K,WIPLog!$C:$C,$A371))</f>
        <v/>
      </c>
      <c r="O371" s="5" t="str">
        <f>IF($A371="","",SUMIFS('Delivery Log'!$E:$E,'Delivery Log'!$B:$B,$A371))</f>
        <v/>
      </c>
      <c r="P371" s="5" t="str">
        <f t="shared" si="10"/>
        <v/>
      </c>
      <c r="Q371" t="str">
        <f t="shared" si="11"/>
        <v/>
      </c>
    </row>
    <row r="372" spans="7:17">
      <c r="G372" s="5"/>
      <c r="H372" s="4"/>
      <c r="I372" s="4"/>
      <c r="K372" t="str">
        <f>IF($A372="","",IF($O372&gt;=$G372,"Delivered",IFERROR(LOOKUP(2,1/(WIPLog!$C$2:$C$1000=$A372),WIPLog!$F$2:$F$1000),"Not Started")))</f>
        <v/>
      </c>
      <c r="L372" s="5" t="str">
        <f>IF($A372="","",SUMIFS(WIPLog!$H:$H,WIPLog!$C:$C,$A372))</f>
        <v/>
      </c>
      <c r="M372" s="5" t="str">
        <f>IF($A372="","",SUMIFS(WIPLog!$I:$I,WIPLog!$C:$C,$A372))</f>
        <v/>
      </c>
      <c r="N372" s="5" t="str">
        <f>IF($A372="","",SUMIFS(WIPLog!$K:$K,WIPLog!$C:$C,$A372))</f>
        <v/>
      </c>
      <c r="O372" s="5" t="str">
        <f>IF($A372="","",SUMIFS('Delivery Log'!$E:$E,'Delivery Log'!$B:$B,$A372))</f>
        <v/>
      </c>
      <c r="P372" s="5" t="str">
        <f t="shared" si="10"/>
        <v/>
      </c>
      <c r="Q372" t="str">
        <f t="shared" si="11"/>
        <v/>
      </c>
    </row>
    <row r="373" spans="7:17">
      <c r="G373" s="5"/>
      <c r="H373" s="4"/>
      <c r="I373" s="4"/>
      <c r="K373" t="str">
        <f>IF($A373="","",IF($O373&gt;=$G373,"Delivered",IFERROR(LOOKUP(2,1/(WIPLog!$C$2:$C$1000=$A373),WIPLog!$F$2:$F$1000),"Not Started")))</f>
        <v/>
      </c>
      <c r="L373" s="5" t="str">
        <f>IF($A373="","",SUMIFS(WIPLog!$H:$H,WIPLog!$C:$C,$A373))</f>
        <v/>
      </c>
      <c r="M373" s="5" t="str">
        <f>IF($A373="","",SUMIFS(WIPLog!$I:$I,WIPLog!$C:$C,$A373))</f>
        <v/>
      </c>
      <c r="N373" s="5" t="str">
        <f>IF($A373="","",SUMIFS(WIPLog!$K:$K,WIPLog!$C:$C,$A373))</f>
        <v/>
      </c>
      <c r="O373" s="5" t="str">
        <f>IF($A373="","",SUMIFS('Delivery Log'!$E:$E,'Delivery Log'!$B:$B,$A373))</f>
        <v/>
      </c>
      <c r="P373" s="5" t="str">
        <f t="shared" si="10"/>
        <v/>
      </c>
      <c r="Q373" t="str">
        <f t="shared" si="11"/>
        <v/>
      </c>
    </row>
    <row r="374" spans="7:17">
      <c r="G374" s="5"/>
      <c r="H374" s="4"/>
      <c r="I374" s="4"/>
      <c r="K374" t="str">
        <f>IF($A374="","",IF($O374&gt;=$G374,"Delivered",IFERROR(LOOKUP(2,1/(WIPLog!$C$2:$C$1000=$A374),WIPLog!$F$2:$F$1000),"Not Started")))</f>
        <v/>
      </c>
      <c r="L374" s="5" t="str">
        <f>IF($A374="","",SUMIFS(WIPLog!$H:$H,WIPLog!$C:$C,$A374))</f>
        <v/>
      </c>
      <c r="M374" s="5" t="str">
        <f>IF($A374="","",SUMIFS(WIPLog!$I:$I,WIPLog!$C:$C,$A374))</f>
        <v/>
      </c>
      <c r="N374" s="5" t="str">
        <f>IF($A374="","",SUMIFS(WIPLog!$K:$K,WIPLog!$C:$C,$A374))</f>
        <v/>
      </c>
      <c r="O374" s="5" t="str">
        <f>IF($A374="","",SUMIFS('Delivery Log'!$E:$E,'Delivery Log'!$B:$B,$A374))</f>
        <v/>
      </c>
      <c r="P374" s="5" t="str">
        <f t="shared" si="10"/>
        <v/>
      </c>
      <c r="Q374" t="str">
        <f t="shared" si="11"/>
        <v/>
      </c>
    </row>
    <row r="375" spans="7:17">
      <c r="G375" s="5"/>
      <c r="H375" s="4"/>
      <c r="I375" s="4"/>
      <c r="K375" t="str">
        <f>IF($A375="","",IF($O375&gt;=$G375,"Delivered",IFERROR(LOOKUP(2,1/(WIPLog!$C$2:$C$1000=$A375),WIPLog!$F$2:$F$1000),"Not Started")))</f>
        <v/>
      </c>
      <c r="L375" s="5" t="str">
        <f>IF($A375="","",SUMIFS(WIPLog!$H:$H,WIPLog!$C:$C,$A375))</f>
        <v/>
      </c>
      <c r="M375" s="5" t="str">
        <f>IF($A375="","",SUMIFS(WIPLog!$I:$I,WIPLog!$C:$C,$A375))</f>
        <v/>
      </c>
      <c r="N375" s="5" t="str">
        <f>IF($A375="","",SUMIFS(WIPLog!$K:$K,WIPLog!$C:$C,$A375))</f>
        <v/>
      </c>
      <c r="O375" s="5" t="str">
        <f>IF($A375="","",SUMIFS('Delivery Log'!$E:$E,'Delivery Log'!$B:$B,$A375))</f>
        <v/>
      </c>
      <c r="P375" s="5" t="str">
        <f t="shared" si="10"/>
        <v/>
      </c>
      <c r="Q375" t="str">
        <f t="shared" si="11"/>
        <v/>
      </c>
    </row>
    <row r="376" spans="7:17">
      <c r="G376" s="5"/>
      <c r="H376" s="4"/>
      <c r="I376" s="4"/>
      <c r="K376" t="str">
        <f>IF($A376="","",IF($O376&gt;=$G376,"Delivered",IFERROR(LOOKUP(2,1/(WIPLog!$C$2:$C$1000=$A376),WIPLog!$F$2:$F$1000),"Not Started")))</f>
        <v/>
      </c>
      <c r="L376" s="5" t="str">
        <f>IF($A376="","",SUMIFS(WIPLog!$H:$H,WIPLog!$C:$C,$A376))</f>
        <v/>
      </c>
      <c r="M376" s="5" t="str">
        <f>IF($A376="","",SUMIFS(WIPLog!$I:$I,WIPLog!$C:$C,$A376))</f>
        <v/>
      </c>
      <c r="N376" s="5" t="str">
        <f>IF($A376="","",SUMIFS(WIPLog!$K:$K,WIPLog!$C:$C,$A376))</f>
        <v/>
      </c>
      <c r="O376" s="5" t="str">
        <f>IF($A376="","",SUMIFS('Delivery Log'!$E:$E,'Delivery Log'!$B:$B,$A376))</f>
        <v/>
      </c>
      <c r="P376" s="5" t="str">
        <f t="shared" si="10"/>
        <v/>
      </c>
      <c r="Q376" t="str">
        <f t="shared" si="11"/>
        <v/>
      </c>
    </row>
    <row r="377" spans="7:17">
      <c r="G377" s="5"/>
      <c r="H377" s="4"/>
      <c r="I377" s="4"/>
      <c r="K377" t="str">
        <f>IF($A377="","",IF($O377&gt;=$G377,"Delivered",IFERROR(LOOKUP(2,1/(WIPLog!$C$2:$C$1000=$A377),WIPLog!$F$2:$F$1000),"Not Started")))</f>
        <v/>
      </c>
      <c r="L377" s="5" t="str">
        <f>IF($A377="","",SUMIFS(WIPLog!$H:$H,WIPLog!$C:$C,$A377))</f>
        <v/>
      </c>
      <c r="M377" s="5" t="str">
        <f>IF($A377="","",SUMIFS(WIPLog!$I:$I,WIPLog!$C:$C,$A377))</f>
        <v/>
      </c>
      <c r="N377" s="5" t="str">
        <f>IF($A377="","",SUMIFS(WIPLog!$K:$K,WIPLog!$C:$C,$A377))</f>
        <v/>
      </c>
      <c r="O377" s="5" t="str">
        <f>IF($A377="","",SUMIFS('Delivery Log'!$E:$E,'Delivery Log'!$B:$B,$A377))</f>
        <v/>
      </c>
      <c r="P377" s="5" t="str">
        <f t="shared" si="10"/>
        <v/>
      </c>
      <c r="Q377" t="str">
        <f t="shared" si="11"/>
        <v/>
      </c>
    </row>
    <row r="378" spans="7:17">
      <c r="G378" s="5"/>
      <c r="H378" s="4"/>
      <c r="I378" s="4"/>
      <c r="K378" t="str">
        <f>IF($A378="","",IF($O378&gt;=$G378,"Delivered",IFERROR(LOOKUP(2,1/(WIPLog!$C$2:$C$1000=$A378),WIPLog!$F$2:$F$1000),"Not Started")))</f>
        <v/>
      </c>
      <c r="L378" s="5" t="str">
        <f>IF($A378="","",SUMIFS(WIPLog!$H:$H,WIPLog!$C:$C,$A378))</f>
        <v/>
      </c>
      <c r="M378" s="5" t="str">
        <f>IF($A378="","",SUMIFS(WIPLog!$I:$I,WIPLog!$C:$C,$A378))</f>
        <v/>
      </c>
      <c r="N378" s="5" t="str">
        <f>IF($A378="","",SUMIFS(WIPLog!$K:$K,WIPLog!$C:$C,$A378))</f>
        <v/>
      </c>
      <c r="O378" s="5" t="str">
        <f>IF($A378="","",SUMIFS('Delivery Log'!$E:$E,'Delivery Log'!$B:$B,$A378))</f>
        <v/>
      </c>
      <c r="P378" s="5" t="str">
        <f t="shared" si="10"/>
        <v/>
      </c>
      <c r="Q378" t="str">
        <f t="shared" si="11"/>
        <v/>
      </c>
    </row>
    <row r="379" spans="7:17">
      <c r="G379" s="5"/>
      <c r="H379" s="4"/>
      <c r="I379" s="4"/>
      <c r="K379" t="str">
        <f>IF($A379="","",IF($O379&gt;=$G379,"Delivered",IFERROR(LOOKUP(2,1/(WIPLog!$C$2:$C$1000=$A379),WIPLog!$F$2:$F$1000),"Not Started")))</f>
        <v/>
      </c>
      <c r="L379" s="5" t="str">
        <f>IF($A379="","",SUMIFS(WIPLog!$H:$H,WIPLog!$C:$C,$A379))</f>
        <v/>
      </c>
      <c r="M379" s="5" t="str">
        <f>IF($A379="","",SUMIFS(WIPLog!$I:$I,WIPLog!$C:$C,$A379))</f>
        <v/>
      </c>
      <c r="N379" s="5" t="str">
        <f>IF($A379="","",SUMIFS(WIPLog!$K:$K,WIPLog!$C:$C,$A379))</f>
        <v/>
      </c>
      <c r="O379" s="5" t="str">
        <f>IF($A379="","",SUMIFS('Delivery Log'!$E:$E,'Delivery Log'!$B:$B,$A379))</f>
        <v/>
      </c>
      <c r="P379" s="5" t="str">
        <f t="shared" si="10"/>
        <v/>
      </c>
      <c r="Q379" t="str">
        <f t="shared" si="11"/>
        <v/>
      </c>
    </row>
    <row r="380" spans="7:17">
      <c r="G380" s="5"/>
      <c r="H380" s="4"/>
      <c r="I380" s="4"/>
      <c r="K380" t="str">
        <f>IF($A380="","",IF($O380&gt;=$G380,"Delivered",IFERROR(LOOKUP(2,1/(WIPLog!$C$2:$C$1000=$A380),WIPLog!$F$2:$F$1000),"Not Started")))</f>
        <v/>
      </c>
      <c r="L380" s="5" t="str">
        <f>IF($A380="","",SUMIFS(WIPLog!$H:$H,WIPLog!$C:$C,$A380))</f>
        <v/>
      </c>
      <c r="M380" s="5" t="str">
        <f>IF($A380="","",SUMIFS(WIPLog!$I:$I,WIPLog!$C:$C,$A380))</f>
        <v/>
      </c>
      <c r="N380" s="5" t="str">
        <f>IF($A380="","",SUMIFS(WIPLog!$K:$K,WIPLog!$C:$C,$A380))</f>
        <v/>
      </c>
      <c r="O380" s="5" t="str">
        <f>IF($A380="","",SUMIFS('Delivery Log'!$E:$E,'Delivery Log'!$B:$B,$A380))</f>
        <v/>
      </c>
      <c r="P380" s="5" t="str">
        <f t="shared" si="10"/>
        <v/>
      </c>
      <c r="Q380" t="str">
        <f t="shared" si="11"/>
        <v/>
      </c>
    </row>
    <row r="381" spans="7:17">
      <c r="G381" s="5"/>
      <c r="H381" s="4"/>
      <c r="I381" s="4"/>
      <c r="K381" t="str">
        <f>IF($A381="","",IF($O381&gt;=$G381,"Delivered",IFERROR(LOOKUP(2,1/(WIPLog!$C$2:$C$1000=$A381),WIPLog!$F$2:$F$1000),"Not Started")))</f>
        <v/>
      </c>
      <c r="L381" s="5" t="str">
        <f>IF($A381="","",SUMIFS(WIPLog!$H:$H,WIPLog!$C:$C,$A381))</f>
        <v/>
      </c>
      <c r="M381" s="5" t="str">
        <f>IF($A381="","",SUMIFS(WIPLog!$I:$I,WIPLog!$C:$C,$A381))</f>
        <v/>
      </c>
      <c r="N381" s="5" t="str">
        <f>IF($A381="","",SUMIFS(WIPLog!$K:$K,WIPLog!$C:$C,$A381))</f>
        <v/>
      </c>
      <c r="O381" s="5" t="str">
        <f>IF($A381="","",SUMIFS('Delivery Log'!$E:$E,'Delivery Log'!$B:$B,$A381))</f>
        <v/>
      </c>
      <c r="P381" s="5" t="str">
        <f t="shared" si="10"/>
        <v/>
      </c>
      <c r="Q381" t="str">
        <f t="shared" si="11"/>
        <v/>
      </c>
    </row>
    <row r="382" spans="7:17">
      <c r="G382" s="5"/>
      <c r="H382" s="4"/>
      <c r="I382" s="4"/>
      <c r="K382" t="str">
        <f>IF($A382="","",IF($O382&gt;=$G382,"Delivered",IFERROR(LOOKUP(2,1/(WIPLog!$C$2:$C$1000=$A382),WIPLog!$F$2:$F$1000),"Not Started")))</f>
        <v/>
      </c>
      <c r="L382" s="5" t="str">
        <f>IF($A382="","",SUMIFS(WIPLog!$H:$H,WIPLog!$C:$C,$A382))</f>
        <v/>
      </c>
      <c r="M382" s="5" t="str">
        <f>IF($A382="","",SUMIFS(WIPLog!$I:$I,WIPLog!$C:$C,$A382))</f>
        <v/>
      </c>
      <c r="N382" s="5" t="str">
        <f>IF($A382="","",SUMIFS(WIPLog!$K:$K,WIPLog!$C:$C,$A382))</f>
        <v/>
      </c>
      <c r="O382" s="5" t="str">
        <f>IF($A382="","",SUMIFS('Delivery Log'!$E:$E,'Delivery Log'!$B:$B,$A382))</f>
        <v/>
      </c>
      <c r="P382" s="5" t="str">
        <f t="shared" si="10"/>
        <v/>
      </c>
      <c r="Q382" t="str">
        <f t="shared" si="11"/>
        <v/>
      </c>
    </row>
    <row r="383" spans="7:17">
      <c r="G383" s="5"/>
      <c r="H383" s="4"/>
      <c r="I383" s="4"/>
      <c r="K383" t="str">
        <f>IF($A383="","",IF($O383&gt;=$G383,"Delivered",IFERROR(LOOKUP(2,1/(WIPLog!$C$2:$C$1000=$A383),WIPLog!$F$2:$F$1000),"Not Started")))</f>
        <v/>
      </c>
      <c r="L383" s="5" t="str">
        <f>IF($A383="","",SUMIFS(WIPLog!$H:$H,WIPLog!$C:$C,$A383))</f>
        <v/>
      </c>
      <c r="M383" s="5" t="str">
        <f>IF($A383="","",SUMIFS(WIPLog!$I:$I,WIPLog!$C:$C,$A383))</f>
        <v/>
      </c>
      <c r="N383" s="5" t="str">
        <f>IF($A383="","",SUMIFS(WIPLog!$K:$K,WIPLog!$C:$C,$A383))</f>
        <v/>
      </c>
      <c r="O383" s="5" t="str">
        <f>IF($A383="","",SUMIFS('Delivery Log'!$E:$E,'Delivery Log'!$B:$B,$A383))</f>
        <v/>
      </c>
      <c r="P383" s="5" t="str">
        <f t="shared" si="10"/>
        <v/>
      </c>
      <c r="Q383" t="str">
        <f t="shared" si="11"/>
        <v/>
      </c>
    </row>
    <row r="384" spans="7:17">
      <c r="G384" s="5"/>
      <c r="H384" s="4"/>
      <c r="I384" s="4"/>
      <c r="K384" t="str">
        <f>IF($A384="","",IF($O384&gt;=$G384,"Delivered",IFERROR(LOOKUP(2,1/(WIPLog!$C$2:$C$1000=$A384),WIPLog!$F$2:$F$1000),"Not Started")))</f>
        <v/>
      </c>
      <c r="L384" s="5" t="str">
        <f>IF($A384="","",SUMIFS(WIPLog!$H:$H,WIPLog!$C:$C,$A384))</f>
        <v/>
      </c>
      <c r="M384" s="5" t="str">
        <f>IF($A384="","",SUMIFS(WIPLog!$I:$I,WIPLog!$C:$C,$A384))</f>
        <v/>
      </c>
      <c r="N384" s="5" t="str">
        <f>IF($A384="","",SUMIFS(WIPLog!$K:$K,WIPLog!$C:$C,$A384))</f>
        <v/>
      </c>
      <c r="O384" s="5" t="str">
        <f>IF($A384="","",SUMIFS('Delivery Log'!$E:$E,'Delivery Log'!$B:$B,$A384))</f>
        <v/>
      </c>
      <c r="P384" s="5" t="str">
        <f t="shared" si="10"/>
        <v/>
      </c>
      <c r="Q384" t="str">
        <f t="shared" si="11"/>
        <v/>
      </c>
    </row>
    <row r="385" spans="7:17">
      <c r="G385" s="5"/>
      <c r="H385" s="4"/>
      <c r="I385" s="4"/>
      <c r="K385" t="str">
        <f>IF($A385="","",IF($O385&gt;=$G385,"Delivered",IFERROR(LOOKUP(2,1/(WIPLog!$C$2:$C$1000=$A385),WIPLog!$F$2:$F$1000),"Not Started")))</f>
        <v/>
      </c>
      <c r="L385" s="5" t="str">
        <f>IF($A385="","",SUMIFS(WIPLog!$H:$H,WIPLog!$C:$C,$A385))</f>
        <v/>
      </c>
      <c r="M385" s="5" t="str">
        <f>IF($A385="","",SUMIFS(WIPLog!$I:$I,WIPLog!$C:$C,$A385))</f>
        <v/>
      </c>
      <c r="N385" s="5" t="str">
        <f>IF($A385="","",SUMIFS(WIPLog!$K:$K,WIPLog!$C:$C,$A385))</f>
        <v/>
      </c>
      <c r="O385" s="5" t="str">
        <f>IF($A385="","",SUMIFS('Delivery Log'!$E:$E,'Delivery Log'!$B:$B,$A385))</f>
        <v/>
      </c>
      <c r="P385" s="5" t="str">
        <f t="shared" si="10"/>
        <v/>
      </c>
      <c r="Q385" t="str">
        <f t="shared" si="11"/>
        <v/>
      </c>
    </row>
    <row r="386" spans="7:17">
      <c r="G386" s="5"/>
      <c r="H386" s="4"/>
      <c r="I386" s="4"/>
      <c r="K386" t="str">
        <f>IF($A386="","",IF($O386&gt;=$G386,"Delivered",IFERROR(LOOKUP(2,1/(WIPLog!$C$2:$C$1000=$A386),WIPLog!$F$2:$F$1000),"Not Started")))</f>
        <v/>
      </c>
      <c r="L386" s="5" t="str">
        <f>IF($A386="","",SUMIFS(WIPLog!$H:$H,WIPLog!$C:$C,$A386))</f>
        <v/>
      </c>
      <c r="M386" s="5" t="str">
        <f>IF($A386="","",SUMIFS(WIPLog!$I:$I,WIPLog!$C:$C,$A386))</f>
        <v/>
      </c>
      <c r="N386" s="5" t="str">
        <f>IF($A386="","",SUMIFS(WIPLog!$K:$K,WIPLog!$C:$C,$A386))</f>
        <v/>
      </c>
      <c r="O386" s="5" t="str">
        <f>IF($A386="","",SUMIFS('Delivery Log'!$E:$E,'Delivery Log'!$B:$B,$A386))</f>
        <v/>
      </c>
      <c r="P386" s="5" t="str">
        <f t="shared" ref="P386:P449" si="12">IF($A386="","",MAX(0,$G386-$O386-$N386))</f>
        <v/>
      </c>
      <c r="Q386" t="str">
        <f t="shared" ref="Q386:Q449" si="13">IF($A386="","",IF($O386&gt;=$G386,"Delivered",IF($O386&gt;0,"Partial",IF($P386=0,"Closed","Open"))))</f>
        <v/>
      </c>
    </row>
    <row r="387" spans="7:17">
      <c r="G387" s="5"/>
      <c r="H387" s="4"/>
      <c r="I387" s="4"/>
      <c r="K387" t="str">
        <f>IF($A387="","",IF($O387&gt;=$G387,"Delivered",IFERROR(LOOKUP(2,1/(WIPLog!$C$2:$C$1000=$A387),WIPLog!$F$2:$F$1000),"Not Started")))</f>
        <v/>
      </c>
      <c r="L387" s="5" t="str">
        <f>IF($A387="","",SUMIFS(WIPLog!$H:$H,WIPLog!$C:$C,$A387))</f>
        <v/>
      </c>
      <c r="M387" s="5" t="str">
        <f>IF($A387="","",SUMIFS(WIPLog!$I:$I,WIPLog!$C:$C,$A387))</f>
        <v/>
      </c>
      <c r="N387" s="5" t="str">
        <f>IF($A387="","",SUMIFS(WIPLog!$K:$K,WIPLog!$C:$C,$A387))</f>
        <v/>
      </c>
      <c r="O387" s="5" t="str">
        <f>IF($A387="","",SUMIFS('Delivery Log'!$E:$E,'Delivery Log'!$B:$B,$A387))</f>
        <v/>
      </c>
      <c r="P387" s="5" t="str">
        <f t="shared" si="12"/>
        <v/>
      </c>
      <c r="Q387" t="str">
        <f t="shared" si="13"/>
        <v/>
      </c>
    </row>
    <row r="388" spans="7:17">
      <c r="G388" s="5"/>
      <c r="H388" s="4"/>
      <c r="I388" s="4"/>
      <c r="K388" t="str">
        <f>IF($A388="","",IF($O388&gt;=$G388,"Delivered",IFERROR(LOOKUP(2,1/(WIPLog!$C$2:$C$1000=$A388),WIPLog!$F$2:$F$1000),"Not Started")))</f>
        <v/>
      </c>
      <c r="L388" s="5" t="str">
        <f>IF($A388="","",SUMIFS(WIPLog!$H:$H,WIPLog!$C:$C,$A388))</f>
        <v/>
      </c>
      <c r="M388" s="5" t="str">
        <f>IF($A388="","",SUMIFS(WIPLog!$I:$I,WIPLog!$C:$C,$A388))</f>
        <v/>
      </c>
      <c r="N388" s="5" t="str">
        <f>IF($A388="","",SUMIFS(WIPLog!$K:$K,WIPLog!$C:$C,$A388))</f>
        <v/>
      </c>
      <c r="O388" s="5" t="str">
        <f>IF($A388="","",SUMIFS('Delivery Log'!$E:$E,'Delivery Log'!$B:$B,$A388))</f>
        <v/>
      </c>
      <c r="P388" s="5" t="str">
        <f t="shared" si="12"/>
        <v/>
      </c>
      <c r="Q388" t="str">
        <f t="shared" si="13"/>
        <v/>
      </c>
    </row>
    <row r="389" spans="7:17">
      <c r="G389" s="5"/>
      <c r="H389" s="4"/>
      <c r="I389" s="4"/>
      <c r="K389" t="str">
        <f>IF($A389="","",IF($O389&gt;=$G389,"Delivered",IFERROR(LOOKUP(2,1/(WIPLog!$C$2:$C$1000=$A389),WIPLog!$F$2:$F$1000),"Not Started")))</f>
        <v/>
      </c>
      <c r="L389" s="5" t="str">
        <f>IF($A389="","",SUMIFS(WIPLog!$H:$H,WIPLog!$C:$C,$A389))</f>
        <v/>
      </c>
      <c r="M389" s="5" t="str">
        <f>IF($A389="","",SUMIFS(WIPLog!$I:$I,WIPLog!$C:$C,$A389))</f>
        <v/>
      </c>
      <c r="N389" s="5" t="str">
        <f>IF($A389="","",SUMIFS(WIPLog!$K:$K,WIPLog!$C:$C,$A389))</f>
        <v/>
      </c>
      <c r="O389" s="5" t="str">
        <f>IF($A389="","",SUMIFS('Delivery Log'!$E:$E,'Delivery Log'!$B:$B,$A389))</f>
        <v/>
      </c>
      <c r="P389" s="5" t="str">
        <f t="shared" si="12"/>
        <v/>
      </c>
      <c r="Q389" t="str">
        <f t="shared" si="13"/>
        <v/>
      </c>
    </row>
    <row r="390" spans="7:17">
      <c r="G390" s="5"/>
      <c r="H390" s="4"/>
      <c r="I390" s="4"/>
      <c r="K390" t="str">
        <f>IF($A390="","",IF($O390&gt;=$G390,"Delivered",IFERROR(LOOKUP(2,1/(WIPLog!$C$2:$C$1000=$A390),WIPLog!$F$2:$F$1000),"Not Started")))</f>
        <v/>
      </c>
      <c r="L390" s="5" t="str">
        <f>IF($A390="","",SUMIFS(WIPLog!$H:$H,WIPLog!$C:$C,$A390))</f>
        <v/>
      </c>
      <c r="M390" s="5" t="str">
        <f>IF($A390="","",SUMIFS(WIPLog!$I:$I,WIPLog!$C:$C,$A390))</f>
        <v/>
      </c>
      <c r="N390" s="5" t="str">
        <f>IF($A390="","",SUMIFS(WIPLog!$K:$K,WIPLog!$C:$C,$A390))</f>
        <v/>
      </c>
      <c r="O390" s="5" t="str">
        <f>IF($A390="","",SUMIFS('Delivery Log'!$E:$E,'Delivery Log'!$B:$B,$A390))</f>
        <v/>
      </c>
      <c r="P390" s="5" t="str">
        <f t="shared" si="12"/>
        <v/>
      </c>
      <c r="Q390" t="str">
        <f t="shared" si="13"/>
        <v/>
      </c>
    </row>
    <row r="391" spans="7:17">
      <c r="G391" s="5"/>
      <c r="H391" s="4"/>
      <c r="I391" s="4"/>
      <c r="K391" t="str">
        <f>IF($A391="","",IF($O391&gt;=$G391,"Delivered",IFERROR(LOOKUP(2,1/(WIPLog!$C$2:$C$1000=$A391),WIPLog!$F$2:$F$1000),"Not Started")))</f>
        <v/>
      </c>
      <c r="L391" s="5" t="str">
        <f>IF($A391="","",SUMIFS(WIPLog!$H:$H,WIPLog!$C:$C,$A391))</f>
        <v/>
      </c>
      <c r="M391" s="5" t="str">
        <f>IF($A391="","",SUMIFS(WIPLog!$I:$I,WIPLog!$C:$C,$A391))</f>
        <v/>
      </c>
      <c r="N391" s="5" t="str">
        <f>IF($A391="","",SUMIFS(WIPLog!$K:$K,WIPLog!$C:$C,$A391))</f>
        <v/>
      </c>
      <c r="O391" s="5" t="str">
        <f>IF($A391="","",SUMIFS('Delivery Log'!$E:$E,'Delivery Log'!$B:$B,$A391))</f>
        <v/>
      </c>
      <c r="P391" s="5" t="str">
        <f t="shared" si="12"/>
        <v/>
      </c>
      <c r="Q391" t="str">
        <f t="shared" si="13"/>
        <v/>
      </c>
    </row>
    <row r="392" spans="7:17">
      <c r="G392" s="5"/>
      <c r="H392" s="4"/>
      <c r="I392" s="4"/>
      <c r="K392" t="str">
        <f>IF($A392="","",IF($O392&gt;=$G392,"Delivered",IFERROR(LOOKUP(2,1/(WIPLog!$C$2:$C$1000=$A392),WIPLog!$F$2:$F$1000),"Not Started")))</f>
        <v/>
      </c>
      <c r="L392" s="5" t="str">
        <f>IF($A392="","",SUMIFS(WIPLog!$H:$H,WIPLog!$C:$C,$A392))</f>
        <v/>
      </c>
      <c r="M392" s="5" t="str">
        <f>IF($A392="","",SUMIFS(WIPLog!$I:$I,WIPLog!$C:$C,$A392))</f>
        <v/>
      </c>
      <c r="N392" s="5" t="str">
        <f>IF($A392="","",SUMIFS(WIPLog!$K:$K,WIPLog!$C:$C,$A392))</f>
        <v/>
      </c>
      <c r="O392" s="5" t="str">
        <f>IF($A392="","",SUMIFS('Delivery Log'!$E:$E,'Delivery Log'!$B:$B,$A392))</f>
        <v/>
      </c>
      <c r="P392" s="5" t="str">
        <f t="shared" si="12"/>
        <v/>
      </c>
      <c r="Q392" t="str">
        <f t="shared" si="13"/>
        <v/>
      </c>
    </row>
    <row r="393" spans="7:17">
      <c r="G393" s="5"/>
      <c r="H393" s="4"/>
      <c r="I393" s="4"/>
      <c r="K393" t="str">
        <f>IF($A393="","",IF($O393&gt;=$G393,"Delivered",IFERROR(LOOKUP(2,1/(WIPLog!$C$2:$C$1000=$A393),WIPLog!$F$2:$F$1000),"Not Started")))</f>
        <v/>
      </c>
      <c r="L393" s="5" t="str">
        <f>IF($A393="","",SUMIFS(WIPLog!$H:$H,WIPLog!$C:$C,$A393))</f>
        <v/>
      </c>
      <c r="M393" s="5" t="str">
        <f>IF($A393="","",SUMIFS(WIPLog!$I:$I,WIPLog!$C:$C,$A393))</f>
        <v/>
      </c>
      <c r="N393" s="5" t="str">
        <f>IF($A393="","",SUMIFS(WIPLog!$K:$K,WIPLog!$C:$C,$A393))</f>
        <v/>
      </c>
      <c r="O393" s="5" t="str">
        <f>IF($A393="","",SUMIFS('Delivery Log'!$E:$E,'Delivery Log'!$B:$B,$A393))</f>
        <v/>
      </c>
      <c r="P393" s="5" t="str">
        <f t="shared" si="12"/>
        <v/>
      </c>
      <c r="Q393" t="str">
        <f t="shared" si="13"/>
        <v/>
      </c>
    </row>
    <row r="394" spans="7:17">
      <c r="G394" s="5"/>
      <c r="H394" s="4"/>
      <c r="I394" s="4"/>
      <c r="K394" t="str">
        <f>IF($A394="","",IF($O394&gt;=$G394,"Delivered",IFERROR(LOOKUP(2,1/(WIPLog!$C$2:$C$1000=$A394),WIPLog!$F$2:$F$1000),"Not Started")))</f>
        <v/>
      </c>
      <c r="L394" s="5" t="str">
        <f>IF($A394="","",SUMIFS(WIPLog!$H:$H,WIPLog!$C:$C,$A394))</f>
        <v/>
      </c>
      <c r="M394" s="5" t="str">
        <f>IF($A394="","",SUMIFS(WIPLog!$I:$I,WIPLog!$C:$C,$A394))</f>
        <v/>
      </c>
      <c r="N394" s="5" t="str">
        <f>IF($A394="","",SUMIFS(WIPLog!$K:$K,WIPLog!$C:$C,$A394))</f>
        <v/>
      </c>
      <c r="O394" s="5" t="str">
        <f>IF($A394="","",SUMIFS('Delivery Log'!$E:$E,'Delivery Log'!$B:$B,$A394))</f>
        <v/>
      </c>
      <c r="P394" s="5" t="str">
        <f t="shared" si="12"/>
        <v/>
      </c>
      <c r="Q394" t="str">
        <f t="shared" si="13"/>
        <v/>
      </c>
    </row>
    <row r="395" spans="7:17">
      <c r="G395" s="5"/>
      <c r="H395" s="4"/>
      <c r="I395" s="4"/>
      <c r="K395" t="str">
        <f>IF($A395="","",IF($O395&gt;=$G395,"Delivered",IFERROR(LOOKUP(2,1/(WIPLog!$C$2:$C$1000=$A395),WIPLog!$F$2:$F$1000),"Not Started")))</f>
        <v/>
      </c>
      <c r="L395" s="5" t="str">
        <f>IF($A395="","",SUMIFS(WIPLog!$H:$H,WIPLog!$C:$C,$A395))</f>
        <v/>
      </c>
      <c r="M395" s="5" t="str">
        <f>IF($A395="","",SUMIFS(WIPLog!$I:$I,WIPLog!$C:$C,$A395))</f>
        <v/>
      </c>
      <c r="N395" s="5" t="str">
        <f>IF($A395="","",SUMIFS(WIPLog!$K:$K,WIPLog!$C:$C,$A395))</f>
        <v/>
      </c>
      <c r="O395" s="5" t="str">
        <f>IF($A395="","",SUMIFS('Delivery Log'!$E:$E,'Delivery Log'!$B:$B,$A395))</f>
        <v/>
      </c>
      <c r="P395" s="5" t="str">
        <f t="shared" si="12"/>
        <v/>
      </c>
      <c r="Q395" t="str">
        <f t="shared" si="13"/>
        <v/>
      </c>
    </row>
    <row r="396" spans="7:17">
      <c r="G396" s="5"/>
      <c r="H396" s="4"/>
      <c r="I396" s="4"/>
      <c r="K396" t="str">
        <f>IF($A396="","",IF($O396&gt;=$G396,"Delivered",IFERROR(LOOKUP(2,1/(WIPLog!$C$2:$C$1000=$A396),WIPLog!$F$2:$F$1000),"Not Started")))</f>
        <v/>
      </c>
      <c r="L396" s="5" t="str">
        <f>IF($A396="","",SUMIFS(WIPLog!$H:$H,WIPLog!$C:$C,$A396))</f>
        <v/>
      </c>
      <c r="M396" s="5" t="str">
        <f>IF($A396="","",SUMIFS(WIPLog!$I:$I,WIPLog!$C:$C,$A396))</f>
        <v/>
      </c>
      <c r="N396" s="5" t="str">
        <f>IF($A396="","",SUMIFS(WIPLog!$K:$K,WIPLog!$C:$C,$A396))</f>
        <v/>
      </c>
      <c r="O396" s="5" t="str">
        <f>IF($A396="","",SUMIFS('Delivery Log'!$E:$E,'Delivery Log'!$B:$B,$A396))</f>
        <v/>
      </c>
      <c r="P396" s="5" t="str">
        <f t="shared" si="12"/>
        <v/>
      </c>
      <c r="Q396" t="str">
        <f t="shared" si="13"/>
        <v/>
      </c>
    </row>
    <row r="397" spans="7:17">
      <c r="G397" s="5"/>
      <c r="H397" s="4"/>
      <c r="I397" s="4"/>
      <c r="K397" t="str">
        <f>IF($A397="","",IF($O397&gt;=$G397,"Delivered",IFERROR(LOOKUP(2,1/(WIPLog!$C$2:$C$1000=$A397),WIPLog!$F$2:$F$1000),"Not Started")))</f>
        <v/>
      </c>
      <c r="L397" s="5" t="str">
        <f>IF($A397="","",SUMIFS(WIPLog!$H:$H,WIPLog!$C:$C,$A397))</f>
        <v/>
      </c>
      <c r="M397" s="5" t="str">
        <f>IF($A397="","",SUMIFS(WIPLog!$I:$I,WIPLog!$C:$C,$A397))</f>
        <v/>
      </c>
      <c r="N397" s="5" t="str">
        <f>IF($A397="","",SUMIFS(WIPLog!$K:$K,WIPLog!$C:$C,$A397))</f>
        <v/>
      </c>
      <c r="O397" s="5" t="str">
        <f>IF($A397="","",SUMIFS('Delivery Log'!$E:$E,'Delivery Log'!$B:$B,$A397))</f>
        <v/>
      </c>
      <c r="P397" s="5" t="str">
        <f t="shared" si="12"/>
        <v/>
      </c>
      <c r="Q397" t="str">
        <f t="shared" si="13"/>
        <v/>
      </c>
    </row>
    <row r="398" spans="7:17">
      <c r="G398" s="5"/>
      <c r="H398" s="4"/>
      <c r="I398" s="4"/>
      <c r="K398" t="str">
        <f>IF($A398="","",IF($O398&gt;=$G398,"Delivered",IFERROR(LOOKUP(2,1/(WIPLog!$C$2:$C$1000=$A398),WIPLog!$F$2:$F$1000),"Not Started")))</f>
        <v/>
      </c>
      <c r="L398" s="5" t="str">
        <f>IF($A398="","",SUMIFS(WIPLog!$H:$H,WIPLog!$C:$C,$A398))</f>
        <v/>
      </c>
      <c r="M398" s="5" t="str">
        <f>IF($A398="","",SUMIFS(WIPLog!$I:$I,WIPLog!$C:$C,$A398))</f>
        <v/>
      </c>
      <c r="N398" s="5" t="str">
        <f>IF($A398="","",SUMIFS(WIPLog!$K:$K,WIPLog!$C:$C,$A398))</f>
        <v/>
      </c>
      <c r="O398" s="5" t="str">
        <f>IF($A398="","",SUMIFS('Delivery Log'!$E:$E,'Delivery Log'!$B:$B,$A398))</f>
        <v/>
      </c>
      <c r="P398" s="5" t="str">
        <f t="shared" si="12"/>
        <v/>
      </c>
      <c r="Q398" t="str">
        <f t="shared" si="13"/>
        <v/>
      </c>
    </row>
    <row r="399" spans="7:17">
      <c r="G399" s="5"/>
      <c r="H399" s="4"/>
      <c r="I399" s="4"/>
      <c r="K399" t="str">
        <f>IF($A399="","",IF($O399&gt;=$G399,"Delivered",IFERROR(LOOKUP(2,1/(WIPLog!$C$2:$C$1000=$A399),WIPLog!$F$2:$F$1000),"Not Started")))</f>
        <v/>
      </c>
      <c r="L399" s="5" t="str">
        <f>IF($A399="","",SUMIFS(WIPLog!$H:$H,WIPLog!$C:$C,$A399))</f>
        <v/>
      </c>
      <c r="M399" s="5" t="str">
        <f>IF($A399="","",SUMIFS(WIPLog!$I:$I,WIPLog!$C:$C,$A399))</f>
        <v/>
      </c>
      <c r="N399" s="5" t="str">
        <f>IF($A399="","",SUMIFS(WIPLog!$K:$K,WIPLog!$C:$C,$A399))</f>
        <v/>
      </c>
      <c r="O399" s="5" t="str">
        <f>IF($A399="","",SUMIFS('Delivery Log'!$E:$E,'Delivery Log'!$B:$B,$A399))</f>
        <v/>
      </c>
      <c r="P399" s="5" t="str">
        <f t="shared" si="12"/>
        <v/>
      </c>
      <c r="Q399" t="str">
        <f t="shared" si="13"/>
        <v/>
      </c>
    </row>
    <row r="400" spans="7:17">
      <c r="G400" s="5"/>
      <c r="H400" s="4"/>
      <c r="I400" s="4"/>
      <c r="K400" t="str">
        <f>IF($A400="","",IF($O400&gt;=$G400,"Delivered",IFERROR(LOOKUP(2,1/(WIPLog!$C$2:$C$1000=$A400),WIPLog!$F$2:$F$1000),"Not Started")))</f>
        <v/>
      </c>
      <c r="L400" s="5" t="str">
        <f>IF($A400="","",SUMIFS(WIPLog!$H:$H,WIPLog!$C:$C,$A400))</f>
        <v/>
      </c>
      <c r="M400" s="5" t="str">
        <f>IF($A400="","",SUMIFS(WIPLog!$I:$I,WIPLog!$C:$C,$A400))</f>
        <v/>
      </c>
      <c r="N400" s="5" t="str">
        <f>IF($A400="","",SUMIFS(WIPLog!$K:$K,WIPLog!$C:$C,$A400))</f>
        <v/>
      </c>
      <c r="O400" s="5" t="str">
        <f>IF($A400="","",SUMIFS('Delivery Log'!$E:$E,'Delivery Log'!$B:$B,$A400))</f>
        <v/>
      </c>
      <c r="P400" s="5" t="str">
        <f t="shared" si="12"/>
        <v/>
      </c>
      <c r="Q400" t="str">
        <f t="shared" si="13"/>
        <v/>
      </c>
    </row>
    <row r="401" spans="7:17">
      <c r="G401" s="5"/>
      <c r="H401" s="4"/>
      <c r="I401" s="4"/>
      <c r="K401" t="str">
        <f>IF($A401="","",IF($O401&gt;=$G401,"Delivered",IFERROR(LOOKUP(2,1/(WIPLog!$C$2:$C$1000=$A401),WIPLog!$F$2:$F$1000),"Not Started")))</f>
        <v/>
      </c>
      <c r="L401" s="5" t="str">
        <f>IF($A401="","",SUMIFS(WIPLog!$H:$H,WIPLog!$C:$C,$A401))</f>
        <v/>
      </c>
      <c r="M401" s="5" t="str">
        <f>IF($A401="","",SUMIFS(WIPLog!$I:$I,WIPLog!$C:$C,$A401))</f>
        <v/>
      </c>
      <c r="N401" s="5" t="str">
        <f>IF($A401="","",SUMIFS(WIPLog!$K:$K,WIPLog!$C:$C,$A401))</f>
        <v/>
      </c>
      <c r="O401" s="5" t="str">
        <f>IF($A401="","",SUMIFS('Delivery Log'!$E:$E,'Delivery Log'!$B:$B,$A401))</f>
        <v/>
      </c>
      <c r="P401" s="5" t="str">
        <f t="shared" si="12"/>
        <v/>
      </c>
      <c r="Q401" t="str">
        <f t="shared" si="13"/>
        <v/>
      </c>
    </row>
    <row r="402" spans="7:17">
      <c r="G402" s="5"/>
      <c r="H402" s="4"/>
      <c r="I402" s="4"/>
      <c r="K402" t="str">
        <f>IF($A402="","",IF($O402&gt;=$G402,"Delivered",IFERROR(LOOKUP(2,1/(WIPLog!$C$2:$C$1000=$A402),WIPLog!$F$2:$F$1000),"Not Started")))</f>
        <v/>
      </c>
      <c r="L402" s="5" t="str">
        <f>IF($A402="","",SUMIFS(WIPLog!$H:$H,WIPLog!$C:$C,$A402))</f>
        <v/>
      </c>
      <c r="M402" s="5" t="str">
        <f>IF($A402="","",SUMIFS(WIPLog!$I:$I,WIPLog!$C:$C,$A402))</f>
        <v/>
      </c>
      <c r="N402" s="5" t="str">
        <f>IF($A402="","",SUMIFS(WIPLog!$K:$K,WIPLog!$C:$C,$A402))</f>
        <v/>
      </c>
      <c r="O402" s="5" t="str">
        <f>IF($A402="","",SUMIFS('Delivery Log'!$E:$E,'Delivery Log'!$B:$B,$A402))</f>
        <v/>
      </c>
      <c r="P402" s="5" t="str">
        <f t="shared" si="12"/>
        <v/>
      </c>
      <c r="Q402" t="str">
        <f t="shared" si="13"/>
        <v/>
      </c>
    </row>
    <row r="403" spans="7:17">
      <c r="G403" s="5"/>
      <c r="H403" s="4"/>
      <c r="I403" s="4"/>
      <c r="K403" t="str">
        <f>IF($A403="","",IF($O403&gt;=$G403,"Delivered",IFERROR(LOOKUP(2,1/(WIPLog!$C$2:$C$1000=$A403),WIPLog!$F$2:$F$1000),"Not Started")))</f>
        <v/>
      </c>
      <c r="L403" s="5" t="str">
        <f>IF($A403="","",SUMIFS(WIPLog!$H:$H,WIPLog!$C:$C,$A403))</f>
        <v/>
      </c>
      <c r="M403" s="5" t="str">
        <f>IF($A403="","",SUMIFS(WIPLog!$I:$I,WIPLog!$C:$C,$A403))</f>
        <v/>
      </c>
      <c r="N403" s="5" t="str">
        <f>IF($A403="","",SUMIFS(WIPLog!$K:$K,WIPLog!$C:$C,$A403))</f>
        <v/>
      </c>
      <c r="O403" s="5" t="str">
        <f>IF($A403="","",SUMIFS('Delivery Log'!$E:$E,'Delivery Log'!$B:$B,$A403))</f>
        <v/>
      </c>
      <c r="P403" s="5" t="str">
        <f t="shared" si="12"/>
        <v/>
      </c>
      <c r="Q403" t="str">
        <f t="shared" si="13"/>
        <v/>
      </c>
    </row>
    <row r="404" spans="7:17">
      <c r="G404" s="5"/>
      <c r="H404" s="4"/>
      <c r="I404" s="4"/>
      <c r="K404" t="str">
        <f>IF($A404="","",IF($O404&gt;=$G404,"Delivered",IFERROR(LOOKUP(2,1/(WIPLog!$C$2:$C$1000=$A404),WIPLog!$F$2:$F$1000),"Not Started")))</f>
        <v/>
      </c>
      <c r="L404" s="5" t="str">
        <f>IF($A404="","",SUMIFS(WIPLog!$H:$H,WIPLog!$C:$C,$A404))</f>
        <v/>
      </c>
      <c r="M404" s="5" t="str">
        <f>IF($A404="","",SUMIFS(WIPLog!$I:$I,WIPLog!$C:$C,$A404))</f>
        <v/>
      </c>
      <c r="N404" s="5" t="str">
        <f>IF($A404="","",SUMIFS(WIPLog!$K:$K,WIPLog!$C:$C,$A404))</f>
        <v/>
      </c>
      <c r="O404" s="5" t="str">
        <f>IF($A404="","",SUMIFS('Delivery Log'!$E:$E,'Delivery Log'!$B:$B,$A404))</f>
        <v/>
      </c>
      <c r="P404" s="5" t="str">
        <f t="shared" si="12"/>
        <v/>
      </c>
      <c r="Q404" t="str">
        <f t="shared" si="13"/>
        <v/>
      </c>
    </row>
    <row r="405" spans="7:17">
      <c r="G405" s="5"/>
      <c r="H405" s="4"/>
      <c r="I405" s="4"/>
      <c r="K405" t="str">
        <f>IF($A405="","",IF($O405&gt;=$G405,"Delivered",IFERROR(LOOKUP(2,1/(WIPLog!$C$2:$C$1000=$A405),WIPLog!$F$2:$F$1000),"Not Started")))</f>
        <v/>
      </c>
      <c r="L405" s="5" t="str">
        <f>IF($A405="","",SUMIFS(WIPLog!$H:$H,WIPLog!$C:$C,$A405))</f>
        <v/>
      </c>
      <c r="M405" s="5" t="str">
        <f>IF($A405="","",SUMIFS(WIPLog!$I:$I,WIPLog!$C:$C,$A405))</f>
        <v/>
      </c>
      <c r="N405" s="5" t="str">
        <f>IF($A405="","",SUMIFS(WIPLog!$K:$K,WIPLog!$C:$C,$A405))</f>
        <v/>
      </c>
      <c r="O405" s="5" t="str">
        <f>IF($A405="","",SUMIFS('Delivery Log'!$E:$E,'Delivery Log'!$B:$B,$A405))</f>
        <v/>
      </c>
      <c r="P405" s="5" t="str">
        <f t="shared" si="12"/>
        <v/>
      </c>
      <c r="Q405" t="str">
        <f t="shared" si="13"/>
        <v/>
      </c>
    </row>
    <row r="406" spans="7:17">
      <c r="G406" s="5"/>
      <c r="H406" s="4"/>
      <c r="I406" s="4"/>
      <c r="K406" t="str">
        <f>IF($A406="","",IF($O406&gt;=$G406,"Delivered",IFERROR(LOOKUP(2,1/(WIPLog!$C$2:$C$1000=$A406),WIPLog!$F$2:$F$1000),"Not Started")))</f>
        <v/>
      </c>
      <c r="L406" s="5" t="str">
        <f>IF($A406="","",SUMIFS(WIPLog!$H:$H,WIPLog!$C:$C,$A406))</f>
        <v/>
      </c>
      <c r="M406" s="5" t="str">
        <f>IF($A406="","",SUMIFS(WIPLog!$I:$I,WIPLog!$C:$C,$A406))</f>
        <v/>
      </c>
      <c r="N406" s="5" t="str">
        <f>IF($A406="","",SUMIFS(WIPLog!$K:$K,WIPLog!$C:$C,$A406))</f>
        <v/>
      </c>
      <c r="O406" s="5" t="str">
        <f>IF($A406="","",SUMIFS('Delivery Log'!$E:$E,'Delivery Log'!$B:$B,$A406))</f>
        <v/>
      </c>
      <c r="P406" s="5" t="str">
        <f t="shared" si="12"/>
        <v/>
      </c>
      <c r="Q406" t="str">
        <f t="shared" si="13"/>
        <v/>
      </c>
    </row>
    <row r="407" spans="7:17">
      <c r="G407" s="5"/>
      <c r="H407" s="4"/>
      <c r="I407" s="4"/>
      <c r="K407" t="str">
        <f>IF($A407="","",IF($O407&gt;=$G407,"Delivered",IFERROR(LOOKUP(2,1/(WIPLog!$C$2:$C$1000=$A407),WIPLog!$F$2:$F$1000),"Not Started")))</f>
        <v/>
      </c>
      <c r="L407" s="5" t="str">
        <f>IF($A407="","",SUMIFS(WIPLog!$H:$H,WIPLog!$C:$C,$A407))</f>
        <v/>
      </c>
      <c r="M407" s="5" t="str">
        <f>IF($A407="","",SUMIFS(WIPLog!$I:$I,WIPLog!$C:$C,$A407))</f>
        <v/>
      </c>
      <c r="N407" s="5" t="str">
        <f>IF($A407="","",SUMIFS(WIPLog!$K:$K,WIPLog!$C:$C,$A407))</f>
        <v/>
      </c>
      <c r="O407" s="5" t="str">
        <f>IF($A407="","",SUMIFS('Delivery Log'!$E:$E,'Delivery Log'!$B:$B,$A407))</f>
        <v/>
      </c>
      <c r="P407" s="5" t="str">
        <f t="shared" si="12"/>
        <v/>
      </c>
      <c r="Q407" t="str">
        <f t="shared" si="13"/>
        <v/>
      </c>
    </row>
    <row r="408" spans="7:17">
      <c r="G408" s="5"/>
      <c r="H408" s="4"/>
      <c r="I408" s="4"/>
      <c r="K408" t="str">
        <f>IF($A408="","",IF($O408&gt;=$G408,"Delivered",IFERROR(LOOKUP(2,1/(WIPLog!$C$2:$C$1000=$A408),WIPLog!$F$2:$F$1000),"Not Started")))</f>
        <v/>
      </c>
      <c r="L408" s="5" t="str">
        <f>IF($A408="","",SUMIFS(WIPLog!$H:$H,WIPLog!$C:$C,$A408))</f>
        <v/>
      </c>
      <c r="M408" s="5" t="str">
        <f>IF($A408="","",SUMIFS(WIPLog!$I:$I,WIPLog!$C:$C,$A408))</f>
        <v/>
      </c>
      <c r="N408" s="5" t="str">
        <f>IF($A408="","",SUMIFS(WIPLog!$K:$K,WIPLog!$C:$C,$A408))</f>
        <v/>
      </c>
      <c r="O408" s="5" t="str">
        <f>IF($A408="","",SUMIFS('Delivery Log'!$E:$E,'Delivery Log'!$B:$B,$A408))</f>
        <v/>
      </c>
      <c r="P408" s="5" t="str">
        <f t="shared" si="12"/>
        <v/>
      </c>
      <c r="Q408" t="str">
        <f t="shared" si="13"/>
        <v/>
      </c>
    </row>
    <row r="409" spans="7:17">
      <c r="G409" s="5"/>
      <c r="H409" s="4"/>
      <c r="I409" s="4"/>
      <c r="K409" t="str">
        <f>IF($A409="","",IF($O409&gt;=$G409,"Delivered",IFERROR(LOOKUP(2,1/(WIPLog!$C$2:$C$1000=$A409),WIPLog!$F$2:$F$1000),"Not Started")))</f>
        <v/>
      </c>
      <c r="L409" s="5" t="str">
        <f>IF($A409="","",SUMIFS(WIPLog!$H:$H,WIPLog!$C:$C,$A409))</f>
        <v/>
      </c>
      <c r="M409" s="5" t="str">
        <f>IF($A409="","",SUMIFS(WIPLog!$I:$I,WIPLog!$C:$C,$A409))</f>
        <v/>
      </c>
      <c r="N409" s="5" t="str">
        <f>IF($A409="","",SUMIFS(WIPLog!$K:$K,WIPLog!$C:$C,$A409))</f>
        <v/>
      </c>
      <c r="O409" s="5" t="str">
        <f>IF($A409="","",SUMIFS('Delivery Log'!$E:$E,'Delivery Log'!$B:$B,$A409))</f>
        <v/>
      </c>
      <c r="P409" s="5" t="str">
        <f t="shared" si="12"/>
        <v/>
      </c>
      <c r="Q409" t="str">
        <f t="shared" si="13"/>
        <v/>
      </c>
    </row>
    <row r="410" spans="7:17">
      <c r="G410" s="5"/>
      <c r="H410" s="4"/>
      <c r="I410" s="4"/>
      <c r="K410" t="str">
        <f>IF($A410="","",IF($O410&gt;=$G410,"Delivered",IFERROR(LOOKUP(2,1/(WIPLog!$C$2:$C$1000=$A410),WIPLog!$F$2:$F$1000),"Not Started")))</f>
        <v/>
      </c>
      <c r="L410" s="5" t="str">
        <f>IF($A410="","",SUMIFS(WIPLog!$H:$H,WIPLog!$C:$C,$A410))</f>
        <v/>
      </c>
      <c r="M410" s="5" t="str">
        <f>IF($A410="","",SUMIFS(WIPLog!$I:$I,WIPLog!$C:$C,$A410))</f>
        <v/>
      </c>
      <c r="N410" s="5" t="str">
        <f>IF($A410="","",SUMIFS(WIPLog!$K:$K,WIPLog!$C:$C,$A410))</f>
        <v/>
      </c>
      <c r="O410" s="5" t="str">
        <f>IF($A410="","",SUMIFS('Delivery Log'!$E:$E,'Delivery Log'!$B:$B,$A410))</f>
        <v/>
      </c>
      <c r="P410" s="5" t="str">
        <f t="shared" si="12"/>
        <v/>
      </c>
      <c r="Q410" t="str">
        <f t="shared" si="13"/>
        <v/>
      </c>
    </row>
    <row r="411" spans="7:17">
      <c r="G411" s="5"/>
      <c r="H411" s="4"/>
      <c r="I411" s="4"/>
      <c r="K411" t="str">
        <f>IF($A411="","",IF($O411&gt;=$G411,"Delivered",IFERROR(LOOKUP(2,1/(WIPLog!$C$2:$C$1000=$A411),WIPLog!$F$2:$F$1000),"Not Started")))</f>
        <v/>
      </c>
      <c r="L411" s="5" t="str">
        <f>IF($A411="","",SUMIFS(WIPLog!$H:$H,WIPLog!$C:$C,$A411))</f>
        <v/>
      </c>
      <c r="M411" s="5" t="str">
        <f>IF($A411="","",SUMIFS(WIPLog!$I:$I,WIPLog!$C:$C,$A411))</f>
        <v/>
      </c>
      <c r="N411" s="5" t="str">
        <f>IF($A411="","",SUMIFS(WIPLog!$K:$K,WIPLog!$C:$C,$A411))</f>
        <v/>
      </c>
      <c r="O411" s="5" t="str">
        <f>IF($A411="","",SUMIFS('Delivery Log'!$E:$E,'Delivery Log'!$B:$B,$A411))</f>
        <v/>
      </c>
      <c r="P411" s="5" t="str">
        <f t="shared" si="12"/>
        <v/>
      </c>
      <c r="Q411" t="str">
        <f t="shared" si="13"/>
        <v/>
      </c>
    </row>
    <row r="412" spans="7:17">
      <c r="G412" s="5"/>
      <c r="H412" s="4"/>
      <c r="I412" s="4"/>
      <c r="K412" t="str">
        <f>IF($A412="","",IF($O412&gt;=$G412,"Delivered",IFERROR(LOOKUP(2,1/(WIPLog!$C$2:$C$1000=$A412),WIPLog!$F$2:$F$1000),"Not Started")))</f>
        <v/>
      </c>
      <c r="L412" s="5" t="str">
        <f>IF($A412="","",SUMIFS(WIPLog!$H:$H,WIPLog!$C:$C,$A412))</f>
        <v/>
      </c>
      <c r="M412" s="5" t="str">
        <f>IF($A412="","",SUMIFS(WIPLog!$I:$I,WIPLog!$C:$C,$A412))</f>
        <v/>
      </c>
      <c r="N412" s="5" t="str">
        <f>IF($A412="","",SUMIFS(WIPLog!$K:$K,WIPLog!$C:$C,$A412))</f>
        <v/>
      </c>
      <c r="O412" s="5" t="str">
        <f>IF($A412="","",SUMIFS('Delivery Log'!$E:$E,'Delivery Log'!$B:$B,$A412))</f>
        <v/>
      </c>
      <c r="P412" s="5" t="str">
        <f t="shared" si="12"/>
        <v/>
      </c>
      <c r="Q412" t="str">
        <f t="shared" si="13"/>
        <v/>
      </c>
    </row>
    <row r="413" spans="7:17">
      <c r="G413" s="5"/>
      <c r="H413" s="4"/>
      <c r="I413" s="4"/>
      <c r="K413" t="str">
        <f>IF($A413="","",IF($O413&gt;=$G413,"Delivered",IFERROR(LOOKUP(2,1/(WIPLog!$C$2:$C$1000=$A413),WIPLog!$F$2:$F$1000),"Not Started")))</f>
        <v/>
      </c>
      <c r="L413" s="5" t="str">
        <f>IF($A413="","",SUMIFS(WIPLog!$H:$H,WIPLog!$C:$C,$A413))</f>
        <v/>
      </c>
      <c r="M413" s="5" t="str">
        <f>IF($A413="","",SUMIFS(WIPLog!$I:$I,WIPLog!$C:$C,$A413))</f>
        <v/>
      </c>
      <c r="N413" s="5" t="str">
        <f>IF($A413="","",SUMIFS(WIPLog!$K:$K,WIPLog!$C:$C,$A413))</f>
        <v/>
      </c>
      <c r="O413" s="5" t="str">
        <f>IF($A413="","",SUMIFS('Delivery Log'!$E:$E,'Delivery Log'!$B:$B,$A413))</f>
        <v/>
      </c>
      <c r="P413" s="5" t="str">
        <f t="shared" si="12"/>
        <v/>
      </c>
      <c r="Q413" t="str">
        <f t="shared" si="13"/>
        <v/>
      </c>
    </row>
    <row r="414" spans="7:17">
      <c r="G414" s="5"/>
      <c r="H414" s="4"/>
      <c r="I414" s="4"/>
      <c r="K414" t="str">
        <f>IF($A414="","",IF($O414&gt;=$G414,"Delivered",IFERROR(LOOKUP(2,1/(WIPLog!$C$2:$C$1000=$A414),WIPLog!$F$2:$F$1000),"Not Started")))</f>
        <v/>
      </c>
      <c r="L414" s="5" t="str">
        <f>IF($A414="","",SUMIFS(WIPLog!$H:$H,WIPLog!$C:$C,$A414))</f>
        <v/>
      </c>
      <c r="M414" s="5" t="str">
        <f>IF($A414="","",SUMIFS(WIPLog!$I:$I,WIPLog!$C:$C,$A414))</f>
        <v/>
      </c>
      <c r="N414" s="5" t="str">
        <f>IF($A414="","",SUMIFS(WIPLog!$K:$K,WIPLog!$C:$C,$A414))</f>
        <v/>
      </c>
      <c r="O414" s="5" t="str">
        <f>IF($A414="","",SUMIFS('Delivery Log'!$E:$E,'Delivery Log'!$B:$B,$A414))</f>
        <v/>
      </c>
      <c r="P414" s="5" t="str">
        <f t="shared" si="12"/>
        <v/>
      </c>
      <c r="Q414" t="str">
        <f t="shared" si="13"/>
        <v/>
      </c>
    </row>
    <row r="415" spans="7:17">
      <c r="G415" s="5"/>
      <c r="H415" s="4"/>
      <c r="I415" s="4"/>
      <c r="K415" t="str">
        <f>IF($A415="","",IF($O415&gt;=$G415,"Delivered",IFERROR(LOOKUP(2,1/(WIPLog!$C$2:$C$1000=$A415),WIPLog!$F$2:$F$1000),"Not Started")))</f>
        <v/>
      </c>
      <c r="L415" s="5" t="str">
        <f>IF($A415="","",SUMIFS(WIPLog!$H:$H,WIPLog!$C:$C,$A415))</f>
        <v/>
      </c>
      <c r="M415" s="5" t="str">
        <f>IF($A415="","",SUMIFS(WIPLog!$I:$I,WIPLog!$C:$C,$A415))</f>
        <v/>
      </c>
      <c r="N415" s="5" t="str">
        <f>IF($A415="","",SUMIFS(WIPLog!$K:$K,WIPLog!$C:$C,$A415))</f>
        <v/>
      </c>
      <c r="O415" s="5" t="str">
        <f>IF($A415="","",SUMIFS('Delivery Log'!$E:$E,'Delivery Log'!$B:$B,$A415))</f>
        <v/>
      </c>
      <c r="P415" s="5" t="str">
        <f t="shared" si="12"/>
        <v/>
      </c>
      <c r="Q415" t="str">
        <f t="shared" si="13"/>
        <v/>
      </c>
    </row>
    <row r="416" spans="7:17">
      <c r="G416" s="5"/>
      <c r="H416" s="4"/>
      <c r="I416" s="4"/>
      <c r="K416" t="str">
        <f>IF($A416="","",IF($O416&gt;=$G416,"Delivered",IFERROR(LOOKUP(2,1/(WIPLog!$C$2:$C$1000=$A416),WIPLog!$F$2:$F$1000),"Not Started")))</f>
        <v/>
      </c>
      <c r="L416" s="5" t="str">
        <f>IF($A416="","",SUMIFS(WIPLog!$H:$H,WIPLog!$C:$C,$A416))</f>
        <v/>
      </c>
      <c r="M416" s="5" t="str">
        <f>IF($A416="","",SUMIFS(WIPLog!$I:$I,WIPLog!$C:$C,$A416))</f>
        <v/>
      </c>
      <c r="N416" s="5" t="str">
        <f>IF($A416="","",SUMIFS(WIPLog!$K:$K,WIPLog!$C:$C,$A416))</f>
        <v/>
      </c>
      <c r="O416" s="5" t="str">
        <f>IF($A416="","",SUMIFS('Delivery Log'!$E:$E,'Delivery Log'!$B:$B,$A416))</f>
        <v/>
      </c>
      <c r="P416" s="5" t="str">
        <f t="shared" si="12"/>
        <v/>
      </c>
      <c r="Q416" t="str">
        <f t="shared" si="13"/>
        <v/>
      </c>
    </row>
    <row r="417" spans="7:17">
      <c r="G417" s="5"/>
      <c r="H417" s="4"/>
      <c r="I417" s="4"/>
      <c r="K417" t="str">
        <f>IF($A417="","",IF($O417&gt;=$G417,"Delivered",IFERROR(LOOKUP(2,1/(WIPLog!$C$2:$C$1000=$A417),WIPLog!$F$2:$F$1000),"Not Started")))</f>
        <v/>
      </c>
      <c r="L417" s="5" t="str">
        <f>IF($A417="","",SUMIFS(WIPLog!$H:$H,WIPLog!$C:$C,$A417))</f>
        <v/>
      </c>
      <c r="M417" s="5" t="str">
        <f>IF($A417="","",SUMIFS(WIPLog!$I:$I,WIPLog!$C:$C,$A417))</f>
        <v/>
      </c>
      <c r="N417" s="5" t="str">
        <f>IF($A417="","",SUMIFS(WIPLog!$K:$K,WIPLog!$C:$C,$A417))</f>
        <v/>
      </c>
      <c r="O417" s="5" t="str">
        <f>IF($A417="","",SUMIFS('Delivery Log'!$E:$E,'Delivery Log'!$B:$B,$A417))</f>
        <v/>
      </c>
      <c r="P417" s="5" t="str">
        <f t="shared" si="12"/>
        <v/>
      </c>
      <c r="Q417" t="str">
        <f t="shared" si="13"/>
        <v/>
      </c>
    </row>
    <row r="418" spans="7:17">
      <c r="G418" s="5"/>
      <c r="H418" s="4"/>
      <c r="I418" s="4"/>
      <c r="K418" t="str">
        <f>IF($A418="","",IF($O418&gt;=$G418,"Delivered",IFERROR(LOOKUP(2,1/(WIPLog!$C$2:$C$1000=$A418),WIPLog!$F$2:$F$1000),"Not Started")))</f>
        <v/>
      </c>
      <c r="L418" s="5" t="str">
        <f>IF($A418="","",SUMIFS(WIPLog!$H:$H,WIPLog!$C:$C,$A418))</f>
        <v/>
      </c>
      <c r="M418" s="5" t="str">
        <f>IF($A418="","",SUMIFS(WIPLog!$I:$I,WIPLog!$C:$C,$A418))</f>
        <v/>
      </c>
      <c r="N418" s="5" t="str">
        <f>IF($A418="","",SUMIFS(WIPLog!$K:$K,WIPLog!$C:$C,$A418))</f>
        <v/>
      </c>
      <c r="O418" s="5" t="str">
        <f>IF($A418="","",SUMIFS('Delivery Log'!$E:$E,'Delivery Log'!$B:$B,$A418))</f>
        <v/>
      </c>
      <c r="P418" s="5" t="str">
        <f t="shared" si="12"/>
        <v/>
      </c>
      <c r="Q418" t="str">
        <f t="shared" si="13"/>
        <v/>
      </c>
    </row>
    <row r="419" spans="7:17">
      <c r="G419" s="5"/>
      <c r="H419" s="4"/>
      <c r="I419" s="4"/>
      <c r="K419" t="str">
        <f>IF($A419="","",IF($O419&gt;=$G419,"Delivered",IFERROR(LOOKUP(2,1/(WIPLog!$C$2:$C$1000=$A419),WIPLog!$F$2:$F$1000),"Not Started")))</f>
        <v/>
      </c>
      <c r="L419" s="5" t="str">
        <f>IF($A419="","",SUMIFS(WIPLog!$H:$H,WIPLog!$C:$C,$A419))</f>
        <v/>
      </c>
      <c r="M419" s="5" t="str">
        <f>IF($A419="","",SUMIFS(WIPLog!$I:$I,WIPLog!$C:$C,$A419))</f>
        <v/>
      </c>
      <c r="N419" s="5" t="str">
        <f>IF($A419="","",SUMIFS(WIPLog!$K:$K,WIPLog!$C:$C,$A419))</f>
        <v/>
      </c>
      <c r="O419" s="5" t="str">
        <f>IF($A419="","",SUMIFS('Delivery Log'!$E:$E,'Delivery Log'!$B:$B,$A419))</f>
        <v/>
      </c>
      <c r="P419" s="5" t="str">
        <f t="shared" si="12"/>
        <v/>
      </c>
      <c r="Q419" t="str">
        <f t="shared" si="13"/>
        <v/>
      </c>
    </row>
    <row r="420" spans="7:17">
      <c r="G420" s="5"/>
      <c r="H420" s="4"/>
      <c r="I420" s="4"/>
      <c r="K420" t="str">
        <f>IF($A420="","",IF($O420&gt;=$G420,"Delivered",IFERROR(LOOKUP(2,1/(WIPLog!$C$2:$C$1000=$A420),WIPLog!$F$2:$F$1000),"Not Started")))</f>
        <v/>
      </c>
      <c r="L420" s="5" t="str">
        <f>IF($A420="","",SUMIFS(WIPLog!$H:$H,WIPLog!$C:$C,$A420))</f>
        <v/>
      </c>
      <c r="M420" s="5" t="str">
        <f>IF($A420="","",SUMIFS(WIPLog!$I:$I,WIPLog!$C:$C,$A420))</f>
        <v/>
      </c>
      <c r="N420" s="5" t="str">
        <f>IF($A420="","",SUMIFS(WIPLog!$K:$K,WIPLog!$C:$C,$A420))</f>
        <v/>
      </c>
      <c r="O420" s="5" t="str">
        <f>IF($A420="","",SUMIFS('Delivery Log'!$E:$E,'Delivery Log'!$B:$B,$A420))</f>
        <v/>
      </c>
      <c r="P420" s="5" t="str">
        <f t="shared" si="12"/>
        <v/>
      </c>
      <c r="Q420" t="str">
        <f t="shared" si="13"/>
        <v/>
      </c>
    </row>
    <row r="421" spans="7:17">
      <c r="G421" s="5"/>
      <c r="H421" s="4"/>
      <c r="I421" s="4"/>
      <c r="K421" t="str">
        <f>IF($A421="","",IF($O421&gt;=$G421,"Delivered",IFERROR(LOOKUP(2,1/(WIPLog!$C$2:$C$1000=$A421),WIPLog!$F$2:$F$1000),"Not Started")))</f>
        <v/>
      </c>
      <c r="L421" s="5" t="str">
        <f>IF($A421="","",SUMIFS(WIPLog!$H:$H,WIPLog!$C:$C,$A421))</f>
        <v/>
      </c>
      <c r="M421" s="5" t="str">
        <f>IF($A421="","",SUMIFS(WIPLog!$I:$I,WIPLog!$C:$C,$A421))</f>
        <v/>
      </c>
      <c r="N421" s="5" t="str">
        <f>IF($A421="","",SUMIFS(WIPLog!$K:$K,WIPLog!$C:$C,$A421))</f>
        <v/>
      </c>
      <c r="O421" s="5" t="str">
        <f>IF($A421="","",SUMIFS('Delivery Log'!$E:$E,'Delivery Log'!$B:$B,$A421))</f>
        <v/>
      </c>
      <c r="P421" s="5" t="str">
        <f t="shared" si="12"/>
        <v/>
      </c>
      <c r="Q421" t="str">
        <f t="shared" si="13"/>
        <v/>
      </c>
    </row>
    <row r="422" spans="7:17">
      <c r="G422" s="5"/>
      <c r="H422" s="4"/>
      <c r="I422" s="4"/>
      <c r="K422" t="str">
        <f>IF($A422="","",IF($O422&gt;=$G422,"Delivered",IFERROR(LOOKUP(2,1/(WIPLog!$C$2:$C$1000=$A422),WIPLog!$F$2:$F$1000),"Not Started")))</f>
        <v/>
      </c>
      <c r="L422" s="5" t="str">
        <f>IF($A422="","",SUMIFS(WIPLog!$H:$H,WIPLog!$C:$C,$A422))</f>
        <v/>
      </c>
      <c r="M422" s="5" t="str">
        <f>IF($A422="","",SUMIFS(WIPLog!$I:$I,WIPLog!$C:$C,$A422))</f>
        <v/>
      </c>
      <c r="N422" s="5" t="str">
        <f>IF($A422="","",SUMIFS(WIPLog!$K:$K,WIPLog!$C:$C,$A422))</f>
        <v/>
      </c>
      <c r="O422" s="5" t="str">
        <f>IF($A422="","",SUMIFS('Delivery Log'!$E:$E,'Delivery Log'!$B:$B,$A422))</f>
        <v/>
      </c>
      <c r="P422" s="5" t="str">
        <f t="shared" si="12"/>
        <v/>
      </c>
      <c r="Q422" t="str">
        <f t="shared" si="13"/>
        <v/>
      </c>
    </row>
    <row r="423" spans="7:17">
      <c r="G423" s="5"/>
      <c r="H423" s="4"/>
      <c r="I423" s="4"/>
      <c r="K423" t="str">
        <f>IF($A423="","",IF($O423&gt;=$G423,"Delivered",IFERROR(LOOKUP(2,1/(WIPLog!$C$2:$C$1000=$A423),WIPLog!$F$2:$F$1000),"Not Started")))</f>
        <v/>
      </c>
      <c r="L423" s="5" t="str">
        <f>IF($A423="","",SUMIFS(WIPLog!$H:$H,WIPLog!$C:$C,$A423))</f>
        <v/>
      </c>
      <c r="M423" s="5" t="str">
        <f>IF($A423="","",SUMIFS(WIPLog!$I:$I,WIPLog!$C:$C,$A423))</f>
        <v/>
      </c>
      <c r="N423" s="5" t="str">
        <f>IF($A423="","",SUMIFS(WIPLog!$K:$K,WIPLog!$C:$C,$A423))</f>
        <v/>
      </c>
      <c r="O423" s="5" t="str">
        <f>IF($A423="","",SUMIFS('Delivery Log'!$E:$E,'Delivery Log'!$B:$B,$A423))</f>
        <v/>
      </c>
      <c r="P423" s="5" t="str">
        <f t="shared" si="12"/>
        <v/>
      </c>
      <c r="Q423" t="str">
        <f t="shared" si="13"/>
        <v/>
      </c>
    </row>
    <row r="424" spans="7:17">
      <c r="G424" s="5"/>
      <c r="H424" s="4"/>
      <c r="I424" s="4"/>
      <c r="K424" t="str">
        <f>IF($A424="","",IF($O424&gt;=$G424,"Delivered",IFERROR(LOOKUP(2,1/(WIPLog!$C$2:$C$1000=$A424),WIPLog!$F$2:$F$1000),"Not Started")))</f>
        <v/>
      </c>
      <c r="L424" s="5" t="str">
        <f>IF($A424="","",SUMIFS(WIPLog!$H:$H,WIPLog!$C:$C,$A424))</f>
        <v/>
      </c>
      <c r="M424" s="5" t="str">
        <f>IF($A424="","",SUMIFS(WIPLog!$I:$I,WIPLog!$C:$C,$A424))</f>
        <v/>
      </c>
      <c r="N424" s="5" t="str">
        <f>IF($A424="","",SUMIFS(WIPLog!$K:$K,WIPLog!$C:$C,$A424))</f>
        <v/>
      </c>
      <c r="O424" s="5" t="str">
        <f>IF($A424="","",SUMIFS('Delivery Log'!$E:$E,'Delivery Log'!$B:$B,$A424))</f>
        <v/>
      </c>
      <c r="P424" s="5" t="str">
        <f t="shared" si="12"/>
        <v/>
      </c>
      <c r="Q424" t="str">
        <f t="shared" si="13"/>
        <v/>
      </c>
    </row>
    <row r="425" spans="7:17">
      <c r="G425" s="5"/>
      <c r="H425" s="4"/>
      <c r="I425" s="4"/>
      <c r="K425" t="str">
        <f>IF($A425="","",IF($O425&gt;=$G425,"Delivered",IFERROR(LOOKUP(2,1/(WIPLog!$C$2:$C$1000=$A425),WIPLog!$F$2:$F$1000),"Not Started")))</f>
        <v/>
      </c>
      <c r="L425" s="5" t="str">
        <f>IF($A425="","",SUMIFS(WIPLog!$H:$H,WIPLog!$C:$C,$A425))</f>
        <v/>
      </c>
      <c r="M425" s="5" t="str">
        <f>IF($A425="","",SUMIFS(WIPLog!$I:$I,WIPLog!$C:$C,$A425))</f>
        <v/>
      </c>
      <c r="N425" s="5" t="str">
        <f>IF($A425="","",SUMIFS(WIPLog!$K:$K,WIPLog!$C:$C,$A425))</f>
        <v/>
      </c>
      <c r="O425" s="5" t="str">
        <f>IF($A425="","",SUMIFS('Delivery Log'!$E:$E,'Delivery Log'!$B:$B,$A425))</f>
        <v/>
      </c>
      <c r="P425" s="5" t="str">
        <f t="shared" si="12"/>
        <v/>
      </c>
      <c r="Q425" t="str">
        <f t="shared" si="13"/>
        <v/>
      </c>
    </row>
    <row r="426" spans="7:17">
      <c r="G426" s="5"/>
      <c r="H426" s="4"/>
      <c r="I426" s="4"/>
      <c r="K426" t="str">
        <f>IF($A426="","",IF($O426&gt;=$G426,"Delivered",IFERROR(LOOKUP(2,1/(WIPLog!$C$2:$C$1000=$A426),WIPLog!$F$2:$F$1000),"Not Started")))</f>
        <v/>
      </c>
      <c r="L426" s="5" t="str">
        <f>IF($A426="","",SUMIFS(WIPLog!$H:$H,WIPLog!$C:$C,$A426))</f>
        <v/>
      </c>
      <c r="M426" s="5" t="str">
        <f>IF($A426="","",SUMIFS(WIPLog!$I:$I,WIPLog!$C:$C,$A426))</f>
        <v/>
      </c>
      <c r="N426" s="5" t="str">
        <f>IF($A426="","",SUMIFS(WIPLog!$K:$K,WIPLog!$C:$C,$A426))</f>
        <v/>
      </c>
      <c r="O426" s="5" t="str">
        <f>IF($A426="","",SUMIFS('Delivery Log'!$E:$E,'Delivery Log'!$B:$B,$A426))</f>
        <v/>
      </c>
      <c r="P426" s="5" t="str">
        <f t="shared" si="12"/>
        <v/>
      </c>
      <c r="Q426" t="str">
        <f t="shared" si="13"/>
        <v/>
      </c>
    </row>
    <row r="427" spans="7:17">
      <c r="G427" s="5"/>
      <c r="H427" s="4"/>
      <c r="I427" s="4"/>
      <c r="K427" t="str">
        <f>IF($A427="","",IF($O427&gt;=$G427,"Delivered",IFERROR(LOOKUP(2,1/(WIPLog!$C$2:$C$1000=$A427),WIPLog!$F$2:$F$1000),"Not Started")))</f>
        <v/>
      </c>
      <c r="L427" s="5" t="str">
        <f>IF($A427="","",SUMIFS(WIPLog!$H:$H,WIPLog!$C:$C,$A427))</f>
        <v/>
      </c>
      <c r="M427" s="5" t="str">
        <f>IF($A427="","",SUMIFS(WIPLog!$I:$I,WIPLog!$C:$C,$A427))</f>
        <v/>
      </c>
      <c r="N427" s="5" t="str">
        <f>IF($A427="","",SUMIFS(WIPLog!$K:$K,WIPLog!$C:$C,$A427))</f>
        <v/>
      </c>
      <c r="O427" s="5" t="str">
        <f>IF($A427="","",SUMIFS('Delivery Log'!$E:$E,'Delivery Log'!$B:$B,$A427))</f>
        <v/>
      </c>
      <c r="P427" s="5" t="str">
        <f t="shared" si="12"/>
        <v/>
      </c>
      <c r="Q427" t="str">
        <f t="shared" si="13"/>
        <v/>
      </c>
    </row>
    <row r="428" spans="7:17">
      <c r="G428" s="5"/>
      <c r="H428" s="4"/>
      <c r="I428" s="4"/>
      <c r="K428" t="str">
        <f>IF($A428="","",IF($O428&gt;=$G428,"Delivered",IFERROR(LOOKUP(2,1/(WIPLog!$C$2:$C$1000=$A428),WIPLog!$F$2:$F$1000),"Not Started")))</f>
        <v/>
      </c>
      <c r="L428" s="5" t="str">
        <f>IF($A428="","",SUMIFS(WIPLog!$H:$H,WIPLog!$C:$C,$A428))</f>
        <v/>
      </c>
      <c r="M428" s="5" t="str">
        <f>IF($A428="","",SUMIFS(WIPLog!$I:$I,WIPLog!$C:$C,$A428))</f>
        <v/>
      </c>
      <c r="N428" s="5" t="str">
        <f>IF($A428="","",SUMIFS(WIPLog!$K:$K,WIPLog!$C:$C,$A428))</f>
        <v/>
      </c>
      <c r="O428" s="5" t="str">
        <f>IF($A428="","",SUMIFS('Delivery Log'!$E:$E,'Delivery Log'!$B:$B,$A428))</f>
        <v/>
      </c>
      <c r="P428" s="5" t="str">
        <f t="shared" si="12"/>
        <v/>
      </c>
      <c r="Q428" t="str">
        <f t="shared" si="13"/>
        <v/>
      </c>
    </row>
    <row r="429" spans="7:17">
      <c r="G429" s="5"/>
      <c r="H429" s="4"/>
      <c r="I429" s="4"/>
      <c r="K429" t="str">
        <f>IF($A429="","",IF($O429&gt;=$G429,"Delivered",IFERROR(LOOKUP(2,1/(WIPLog!$C$2:$C$1000=$A429),WIPLog!$F$2:$F$1000),"Not Started")))</f>
        <v/>
      </c>
      <c r="L429" s="5" t="str">
        <f>IF($A429="","",SUMIFS(WIPLog!$H:$H,WIPLog!$C:$C,$A429))</f>
        <v/>
      </c>
      <c r="M429" s="5" t="str">
        <f>IF($A429="","",SUMIFS(WIPLog!$I:$I,WIPLog!$C:$C,$A429))</f>
        <v/>
      </c>
      <c r="N429" s="5" t="str">
        <f>IF($A429="","",SUMIFS(WIPLog!$K:$K,WIPLog!$C:$C,$A429))</f>
        <v/>
      </c>
      <c r="O429" s="5" t="str">
        <f>IF($A429="","",SUMIFS('Delivery Log'!$E:$E,'Delivery Log'!$B:$B,$A429))</f>
        <v/>
      </c>
      <c r="P429" s="5" t="str">
        <f t="shared" si="12"/>
        <v/>
      </c>
      <c r="Q429" t="str">
        <f t="shared" si="13"/>
        <v/>
      </c>
    </row>
    <row r="430" spans="7:17">
      <c r="G430" s="5"/>
      <c r="H430" s="4"/>
      <c r="I430" s="4"/>
      <c r="K430" t="str">
        <f>IF($A430="","",IF($O430&gt;=$G430,"Delivered",IFERROR(LOOKUP(2,1/(WIPLog!$C$2:$C$1000=$A430),WIPLog!$F$2:$F$1000),"Not Started")))</f>
        <v/>
      </c>
      <c r="L430" s="5" t="str">
        <f>IF($A430="","",SUMIFS(WIPLog!$H:$H,WIPLog!$C:$C,$A430))</f>
        <v/>
      </c>
      <c r="M430" s="5" t="str">
        <f>IF($A430="","",SUMIFS(WIPLog!$I:$I,WIPLog!$C:$C,$A430))</f>
        <v/>
      </c>
      <c r="N430" s="5" t="str">
        <f>IF($A430="","",SUMIFS(WIPLog!$K:$K,WIPLog!$C:$C,$A430))</f>
        <v/>
      </c>
      <c r="O430" s="5" t="str">
        <f>IF($A430="","",SUMIFS('Delivery Log'!$E:$E,'Delivery Log'!$B:$B,$A430))</f>
        <v/>
      </c>
      <c r="P430" s="5" t="str">
        <f t="shared" si="12"/>
        <v/>
      </c>
      <c r="Q430" t="str">
        <f t="shared" si="13"/>
        <v/>
      </c>
    </row>
    <row r="431" spans="7:17">
      <c r="G431" s="5"/>
      <c r="H431" s="4"/>
      <c r="I431" s="4"/>
      <c r="K431" t="str">
        <f>IF($A431="","",IF($O431&gt;=$G431,"Delivered",IFERROR(LOOKUP(2,1/(WIPLog!$C$2:$C$1000=$A431),WIPLog!$F$2:$F$1000),"Not Started")))</f>
        <v/>
      </c>
      <c r="L431" s="5" t="str">
        <f>IF($A431="","",SUMIFS(WIPLog!$H:$H,WIPLog!$C:$C,$A431))</f>
        <v/>
      </c>
      <c r="M431" s="5" t="str">
        <f>IF($A431="","",SUMIFS(WIPLog!$I:$I,WIPLog!$C:$C,$A431))</f>
        <v/>
      </c>
      <c r="N431" s="5" t="str">
        <f>IF($A431="","",SUMIFS(WIPLog!$K:$K,WIPLog!$C:$C,$A431))</f>
        <v/>
      </c>
      <c r="O431" s="5" t="str">
        <f>IF($A431="","",SUMIFS('Delivery Log'!$E:$E,'Delivery Log'!$B:$B,$A431))</f>
        <v/>
      </c>
      <c r="P431" s="5" t="str">
        <f t="shared" si="12"/>
        <v/>
      </c>
      <c r="Q431" t="str">
        <f t="shared" si="13"/>
        <v/>
      </c>
    </row>
    <row r="432" spans="7:17">
      <c r="G432" s="5"/>
      <c r="H432" s="4"/>
      <c r="I432" s="4"/>
      <c r="K432" t="str">
        <f>IF($A432="","",IF($O432&gt;=$G432,"Delivered",IFERROR(LOOKUP(2,1/(WIPLog!$C$2:$C$1000=$A432),WIPLog!$F$2:$F$1000),"Not Started")))</f>
        <v/>
      </c>
      <c r="L432" s="5" t="str">
        <f>IF($A432="","",SUMIFS(WIPLog!$H:$H,WIPLog!$C:$C,$A432))</f>
        <v/>
      </c>
      <c r="M432" s="5" t="str">
        <f>IF($A432="","",SUMIFS(WIPLog!$I:$I,WIPLog!$C:$C,$A432))</f>
        <v/>
      </c>
      <c r="N432" s="5" t="str">
        <f>IF($A432="","",SUMIFS(WIPLog!$K:$K,WIPLog!$C:$C,$A432))</f>
        <v/>
      </c>
      <c r="O432" s="5" t="str">
        <f>IF($A432="","",SUMIFS('Delivery Log'!$E:$E,'Delivery Log'!$B:$B,$A432))</f>
        <v/>
      </c>
      <c r="P432" s="5" t="str">
        <f t="shared" si="12"/>
        <v/>
      </c>
      <c r="Q432" t="str">
        <f t="shared" si="13"/>
        <v/>
      </c>
    </row>
    <row r="433" spans="7:17">
      <c r="G433" s="5"/>
      <c r="H433" s="4"/>
      <c r="I433" s="4"/>
      <c r="K433" t="str">
        <f>IF($A433="","",IF($O433&gt;=$G433,"Delivered",IFERROR(LOOKUP(2,1/(WIPLog!$C$2:$C$1000=$A433),WIPLog!$F$2:$F$1000),"Not Started")))</f>
        <v/>
      </c>
      <c r="L433" s="5" t="str">
        <f>IF($A433="","",SUMIFS(WIPLog!$H:$H,WIPLog!$C:$C,$A433))</f>
        <v/>
      </c>
      <c r="M433" s="5" t="str">
        <f>IF($A433="","",SUMIFS(WIPLog!$I:$I,WIPLog!$C:$C,$A433))</f>
        <v/>
      </c>
      <c r="N433" s="5" t="str">
        <f>IF($A433="","",SUMIFS(WIPLog!$K:$K,WIPLog!$C:$C,$A433))</f>
        <v/>
      </c>
      <c r="O433" s="5" t="str">
        <f>IF($A433="","",SUMIFS('Delivery Log'!$E:$E,'Delivery Log'!$B:$B,$A433))</f>
        <v/>
      </c>
      <c r="P433" s="5" t="str">
        <f t="shared" si="12"/>
        <v/>
      </c>
      <c r="Q433" t="str">
        <f t="shared" si="13"/>
        <v/>
      </c>
    </row>
    <row r="434" spans="7:17">
      <c r="G434" s="5"/>
      <c r="H434" s="4"/>
      <c r="I434" s="4"/>
      <c r="K434" t="str">
        <f>IF($A434="","",IF($O434&gt;=$G434,"Delivered",IFERROR(LOOKUP(2,1/(WIPLog!$C$2:$C$1000=$A434),WIPLog!$F$2:$F$1000),"Not Started")))</f>
        <v/>
      </c>
      <c r="L434" s="5" t="str">
        <f>IF($A434="","",SUMIFS(WIPLog!$H:$H,WIPLog!$C:$C,$A434))</f>
        <v/>
      </c>
      <c r="M434" s="5" t="str">
        <f>IF($A434="","",SUMIFS(WIPLog!$I:$I,WIPLog!$C:$C,$A434))</f>
        <v/>
      </c>
      <c r="N434" s="5" t="str">
        <f>IF($A434="","",SUMIFS(WIPLog!$K:$K,WIPLog!$C:$C,$A434))</f>
        <v/>
      </c>
      <c r="O434" s="5" t="str">
        <f>IF($A434="","",SUMIFS('Delivery Log'!$E:$E,'Delivery Log'!$B:$B,$A434))</f>
        <v/>
      </c>
      <c r="P434" s="5" t="str">
        <f t="shared" si="12"/>
        <v/>
      </c>
      <c r="Q434" t="str">
        <f t="shared" si="13"/>
        <v/>
      </c>
    </row>
    <row r="435" spans="7:17">
      <c r="G435" s="5"/>
      <c r="H435" s="4"/>
      <c r="I435" s="4"/>
      <c r="K435" t="str">
        <f>IF($A435="","",IF($O435&gt;=$G435,"Delivered",IFERROR(LOOKUP(2,1/(WIPLog!$C$2:$C$1000=$A435),WIPLog!$F$2:$F$1000),"Not Started")))</f>
        <v/>
      </c>
      <c r="L435" s="5" t="str">
        <f>IF($A435="","",SUMIFS(WIPLog!$H:$H,WIPLog!$C:$C,$A435))</f>
        <v/>
      </c>
      <c r="M435" s="5" t="str">
        <f>IF($A435="","",SUMIFS(WIPLog!$I:$I,WIPLog!$C:$C,$A435))</f>
        <v/>
      </c>
      <c r="N435" s="5" t="str">
        <f>IF($A435="","",SUMIFS(WIPLog!$K:$K,WIPLog!$C:$C,$A435))</f>
        <v/>
      </c>
      <c r="O435" s="5" t="str">
        <f>IF($A435="","",SUMIFS('Delivery Log'!$E:$E,'Delivery Log'!$B:$B,$A435))</f>
        <v/>
      </c>
      <c r="P435" s="5" t="str">
        <f t="shared" si="12"/>
        <v/>
      </c>
      <c r="Q435" t="str">
        <f t="shared" si="13"/>
        <v/>
      </c>
    </row>
    <row r="436" spans="7:17">
      <c r="G436" s="5"/>
      <c r="H436" s="4"/>
      <c r="I436" s="4"/>
      <c r="K436" t="str">
        <f>IF($A436="","",IF($O436&gt;=$G436,"Delivered",IFERROR(LOOKUP(2,1/(WIPLog!$C$2:$C$1000=$A436),WIPLog!$F$2:$F$1000),"Not Started")))</f>
        <v/>
      </c>
      <c r="L436" s="5" t="str">
        <f>IF($A436="","",SUMIFS(WIPLog!$H:$H,WIPLog!$C:$C,$A436))</f>
        <v/>
      </c>
      <c r="M436" s="5" t="str">
        <f>IF($A436="","",SUMIFS(WIPLog!$I:$I,WIPLog!$C:$C,$A436))</f>
        <v/>
      </c>
      <c r="N436" s="5" t="str">
        <f>IF($A436="","",SUMIFS(WIPLog!$K:$K,WIPLog!$C:$C,$A436))</f>
        <v/>
      </c>
      <c r="O436" s="5" t="str">
        <f>IF($A436="","",SUMIFS('Delivery Log'!$E:$E,'Delivery Log'!$B:$B,$A436))</f>
        <v/>
      </c>
      <c r="P436" s="5" t="str">
        <f t="shared" si="12"/>
        <v/>
      </c>
      <c r="Q436" t="str">
        <f t="shared" si="13"/>
        <v/>
      </c>
    </row>
    <row r="437" spans="7:17">
      <c r="G437" s="5"/>
      <c r="H437" s="4"/>
      <c r="I437" s="4"/>
      <c r="K437" t="str">
        <f>IF($A437="","",IF($O437&gt;=$G437,"Delivered",IFERROR(LOOKUP(2,1/(WIPLog!$C$2:$C$1000=$A437),WIPLog!$F$2:$F$1000),"Not Started")))</f>
        <v/>
      </c>
      <c r="L437" s="5" t="str">
        <f>IF($A437="","",SUMIFS(WIPLog!$H:$H,WIPLog!$C:$C,$A437))</f>
        <v/>
      </c>
      <c r="M437" s="5" t="str">
        <f>IF($A437="","",SUMIFS(WIPLog!$I:$I,WIPLog!$C:$C,$A437))</f>
        <v/>
      </c>
      <c r="N437" s="5" t="str">
        <f>IF($A437="","",SUMIFS(WIPLog!$K:$K,WIPLog!$C:$C,$A437))</f>
        <v/>
      </c>
      <c r="O437" s="5" t="str">
        <f>IF($A437="","",SUMIFS('Delivery Log'!$E:$E,'Delivery Log'!$B:$B,$A437))</f>
        <v/>
      </c>
      <c r="P437" s="5" t="str">
        <f t="shared" si="12"/>
        <v/>
      </c>
      <c r="Q437" t="str">
        <f t="shared" si="13"/>
        <v/>
      </c>
    </row>
    <row r="438" spans="7:17">
      <c r="G438" s="5"/>
      <c r="H438" s="4"/>
      <c r="I438" s="4"/>
      <c r="K438" t="str">
        <f>IF($A438="","",IF($O438&gt;=$G438,"Delivered",IFERROR(LOOKUP(2,1/(WIPLog!$C$2:$C$1000=$A438),WIPLog!$F$2:$F$1000),"Not Started")))</f>
        <v/>
      </c>
      <c r="L438" s="5" t="str">
        <f>IF($A438="","",SUMIFS(WIPLog!$H:$H,WIPLog!$C:$C,$A438))</f>
        <v/>
      </c>
      <c r="M438" s="5" t="str">
        <f>IF($A438="","",SUMIFS(WIPLog!$I:$I,WIPLog!$C:$C,$A438))</f>
        <v/>
      </c>
      <c r="N438" s="5" t="str">
        <f>IF($A438="","",SUMIFS(WIPLog!$K:$K,WIPLog!$C:$C,$A438))</f>
        <v/>
      </c>
      <c r="O438" s="5" t="str">
        <f>IF($A438="","",SUMIFS('Delivery Log'!$E:$E,'Delivery Log'!$B:$B,$A438))</f>
        <v/>
      </c>
      <c r="P438" s="5" t="str">
        <f t="shared" si="12"/>
        <v/>
      </c>
      <c r="Q438" t="str">
        <f t="shared" si="13"/>
        <v/>
      </c>
    </row>
    <row r="439" spans="7:17">
      <c r="G439" s="5"/>
      <c r="H439" s="4"/>
      <c r="I439" s="4"/>
      <c r="K439" t="str">
        <f>IF($A439="","",IF($O439&gt;=$G439,"Delivered",IFERROR(LOOKUP(2,1/(WIPLog!$C$2:$C$1000=$A439),WIPLog!$F$2:$F$1000),"Not Started")))</f>
        <v/>
      </c>
      <c r="L439" s="5" t="str">
        <f>IF($A439="","",SUMIFS(WIPLog!$H:$H,WIPLog!$C:$C,$A439))</f>
        <v/>
      </c>
      <c r="M439" s="5" t="str">
        <f>IF($A439="","",SUMIFS(WIPLog!$I:$I,WIPLog!$C:$C,$A439))</f>
        <v/>
      </c>
      <c r="N439" s="5" t="str">
        <f>IF($A439="","",SUMIFS(WIPLog!$K:$K,WIPLog!$C:$C,$A439))</f>
        <v/>
      </c>
      <c r="O439" s="5" t="str">
        <f>IF($A439="","",SUMIFS('Delivery Log'!$E:$E,'Delivery Log'!$B:$B,$A439))</f>
        <v/>
      </c>
      <c r="P439" s="5" t="str">
        <f t="shared" si="12"/>
        <v/>
      </c>
      <c r="Q439" t="str">
        <f t="shared" si="13"/>
        <v/>
      </c>
    </row>
    <row r="440" spans="7:17">
      <c r="G440" s="5"/>
      <c r="H440" s="4"/>
      <c r="I440" s="4"/>
      <c r="K440" t="str">
        <f>IF($A440="","",IF($O440&gt;=$G440,"Delivered",IFERROR(LOOKUP(2,1/(WIPLog!$C$2:$C$1000=$A440),WIPLog!$F$2:$F$1000),"Not Started")))</f>
        <v/>
      </c>
      <c r="L440" s="5" t="str">
        <f>IF($A440="","",SUMIFS(WIPLog!$H:$H,WIPLog!$C:$C,$A440))</f>
        <v/>
      </c>
      <c r="M440" s="5" t="str">
        <f>IF($A440="","",SUMIFS(WIPLog!$I:$I,WIPLog!$C:$C,$A440))</f>
        <v/>
      </c>
      <c r="N440" s="5" t="str">
        <f>IF($A440="","",SUMIFS(WIPLog!$K:$K,WIPLog!$C:$C,$A440))</f>
        <v/>
      </c>
      <c r="O440" s="5" t="str">
        <f>IF($A440="","",SUMIFS('Delivery Log'!$E:$E,'Delivery Log'!$B:$B,$A440))</f>
        <v/>
      </c>
      <c r="P440" s="5" t="str">
        <f t="shared" si="12"/>
        <v/>
      </c>
      <c r="Q440" t="str">
        <f t="shared" si="13"/>
        <v/>
      </c>
    </row>
    <row r="441" spans="7:17">
      <c r="G441" s="5"/>
      <c r="H441" s="4"/>
      <c r="I441" s="4"/>
      <c r="K441" t="str">
        <f>IF($A441="","",IF($O441&gt;=$G441,"Delivered",IFERROR(LOOKUP(2,1/(WIPLog!$C$2:$C$1000=$A441),WIPLog!$F$2:$F$1000),"Not Started")))</f>
        <v/>
      </c>
      <c r="L441" s="5" t="str">
        <f>IF($A441="","",SUMIFS(WIPLog!$H:$H,WIPLog!$C:$C,$A441))</f>
        <v/>
      </c>
      <c r="M441" s="5" t="str">
        <f>IF($A441="","",SUMIFS(WIPLog!$I:$I,WIPLog!$C:$C,$A441))</f>
        <v/>
      </c>
      <c r="N441" s="5" t="str">
        <f>IF($A441="","",SUMIFS(WIPLog!$K:$K,WIPLog!$C:$C,$A441))</f>
        <v/>
      </c>
      <c r="O441" s="5" t="str">
        <f>IF($A441="","",SUMIFS('Delivery Log'!$E:$E,'Delivery Log'!$B:$B,$A441))</f>
        <v/>
      </c>
      <c r="P441" s="5" t="str">
        <f t="shared" si="12"/>
        <v/>
      </c>
      <c r="Q441" t="str">
        <f t="shared" si="13"/>
        <v/>
      </c>
    </row>
    <row r="442" spans="7:17">
      <c r="G442" s="5"/>
      <c r="H442" s="4"/>
      <c r="I442" s="4"/>
      <c r="K442" t="str">
        <f>IF($A442="","",IF($O442&gt;=$G442,"Delivered",IFERROR(LOOKUP(2,1/(WIPLog!$C$2:$C$1000=$A442),WIPLog!$F$2:$F$1000),"Not Started")))</f>
        <v/>
      </c>
      <c r="L442" s="5" t="str">
        <f>IF($A442="","",SUMIFS(WIPLog!$H:$H,WIPLog!$C:$C,$A442))</f>
        <v/>
      </c>
      <c r="M442" s="5" t="str">
        <f>IF($A442="","",SUMIFS(WIPLog!$I:$I,WIPLog!$C:$C,$A442))</f>
        <v/>
      </c>
      <c r="N442" s="5" t="str">
        <f>IF($A442="","",SUMIFS(WIPLog!$K:$K,WIPLog!$C:$C,$A442))</f>
        <v/>
      </c>
      <c r="O442" s="5" t="str">
        <f>IF($A442="","",SUMIFS('Delivery Log'!$E:$E,'Delivery Log'!$B:$B,$A442))</f>
        <v/>
      </c>
      <c r="P442" s="5" t="str">
        <f t="shared" si="12"/>
        <v/>
      </c>
      <c r="Q442" t="str">
        <f t="shared" si="13"/>
        <v/>
      </c>
    </row>
    <row r="443" spans="7:17">
      <c r="G443" s="5"/>
      <c r="H443" s="4"/>
      <c r="I443" s="4"/>
      <c r="K443" t="str">
        <f>IF($A443="","",IF($O443&gt;=$G443,"Delivered",IFERROR(LOOKUP(2,1/(WIPLog!$C$2:$C$1000=$A443),WIPLog!$F$2:$F$1000),"Not Started")))</f>
        <v/>
      </c>
      <c r="L443" s="5" t="str">
        <f>IF($A443="","",SUMIFS(WIPLog!$H:$H,WIPLog!$C:$C,$A443))</f>
        <v/>
      </c>
      <c r="M443" s="5" t="str">
        <f>IF($A443="","",SUMIFS(WIPLog!$I:$I,WIPLog!$C:$C,$A443))</f>
        <v/>
      </c>
      <c r="N443" s="5" t="str">
        <f>IF($A443="","",SUMIFS(WIPLog!$K:$K,WIPLog!$C:$C,$A443))</f>
        <v/>
      </c>
      <c r="O443" s="5" t="str">
        <f>IF($A443="","",SUMIFS('Delivery Log'!$E:$E,'Delivery Log'!$B:$B,$A443))</f>
        <v/>
      </c>
      <c r="P443" s="5" t="str">
        <f t="shared" si="12"/>
        <v/>
      </c>
      <c r="Q443" t="str">
        <f t="shared" si="13"/>
        <v/>
      </c>
    </row>
    <row r="444" spans="7:17">
      <c r="G444" s="5"/>
      <c r="H444" s="4"/>
      <c r="I444" s="4"/>
      <c r="K444" t="str">
        <f>IF($A444="","",IF($O444&gt;=$G444,"Delivered",IFERROR(LOOKUP(2,1/(WIPLog!$C$2:$C$1000=$A444),WIPLog!$F$2:$F$1000),"Not Started")))</f>
        <v/>
      </c>
      <c r="L444" s="5" t="str">
        <f>IF($A444="","",SUMIFS(WIPLog!$H:$H,WIPLog!$C:$C,$A444))</f>
        <v/>
      </c>
      <c r="M444" s="5" t="str">
        <f>IF($A444="","",SUMIFS(WIPLog!$I:$I,WIPLog!$C:$C,$A444))</f>
        <v/>
      </c>
      <c r="N444" s="5" t="str">
        <f>IF($A444="","",SUMIFS(WIPLog!$K:$K,WIPLog!$C:$C,$A444))</f>
        <v/>
      </c>
      <c r="O444" s="5" t="str">
        <f>IF($A444="","",SUMIFS('Delivery Log'!$E:$E,'Delivery Log'!$B:$B,$A444))</f>
        <v/>
      </c>
      <c r="P444" s="5" t="str">
        <f t="shared" si="12"/>
        <v/>
      </c>
      <c r="Q444" t="str">
        <f t="shared" si="13"/>
        <v/>
      </c>
    </row>
    <row r="445" spans="7:17">
      <c r="G445" s="5"/>
      <c r="H445" s="4"/>
      <c r="I445" s="4"/>
      <c r="K445" t="str">
        <f>IF($A445="","",IF($O445&gt;=$G445,"Delivered",IFERROR(LOOKUP(2,1/(WIPLog!$C$2:$C$1000=$A445),WIPLog!$F$2:$F$1000),"Not Started")))</f>
        <v/>
      </c>
      <c r="L445" s="5" t="str">
        <f>IF($A445="","",SUMIFS(WIPLog!$H:$H,WIPLog!$C:$C,$A445))</f>
        <v/>
      </c>
      <c r="M445" s="5" t="str">
        <f>IF($A445="","",SUMIFS(WIPLog!$I:$I,WIPLog!$C:$C,$A445))</f>
        <v/>
      </c>
      <c r="N445" s="5" t="str">
        <f>IF($A445="","",SUMIFS(WIPLog!$K:$K,WIPLog!$C:$C,$A445))</f>
        <v/>
      </c>
      <c r="O445" s="5" t="str">
        <f>IF($A445="","",SUMIFS('Delivery Log'!$E:$E,'Delivery Log'!$B:$B,$A445))</f>
        <v/>
      </c>
      <c r="P445" s="5" t="str">
        <f t="shared" si="12"/>
        <v/>
      </c>
      <c r="Q445" t="str">
        <f t="shared" si="13"/>
        <v/>
      </c>
    </row>
    <row r="446" spans="7:17">
      <c r="G446" s="5"/>
      <c r="H446" s="4"/>
      <c r="I446" s="4"/>
      <c r="K446" t="str">
        <f>IF($A446="","",IF($O446&gt;=$G446,"Delivered",IFERROR(LOOKUP(2,1/(WIPLog!$C$2:$C$1000=$A446),WIPLog!$F$2:$F$1000),"Not Started")))</f>
        <v/>
      </c>
      <c r="L446" s="5" t="str">
        <f>IF($A446="","",SUMIFS(WIPLog!$H:$H,WIPLog!$C:$C,$A446))</f>
        <v/>
      </c>
      <c r="M446" s="5" t="str">
        <f>IF($A446="","",SUMIFS(WIPLog!$I:$I,WIPLog!$C:$C,$A446))</f>
        <v/>
      </c>
      <c r="N446" s="5" t="str">
        <f>IF($A446="","",SUMIFS(WIPLog!$K:$K,WIPLog!$C:$C,$A446))</f>
        <v/>
      </c>
      <c r="O446" s="5" t="str">
        <f>IF($A446="","",SUMIFS('Delivery Log'!$E:$E,'Delivery Log'!$B:$B,$A446))</f>
        <v/>
      </c>
      <c r="P446" s="5" t="str">
        <f t="shared" si="12"/>
        <v/>
      </c>
      <c r="Q446" t="str">
        <f t="shared" si="13"/>
        <v/>
      </c>
    </row>
    <row r="447" spans="7:17">
      <c r="G447" s="5"/>
      <c r="H447" s="4"/>
      <c r="I447" s="4"/>
      <c r="K447" t="str">
        <f>IF($A447="","",IF($O447&gt;=$G447,"Delivered",IFERROR(LOOKUP(2,1/(WIPLog!$C$2:$C$1000=$A447),WIPLog!$F$2:$F$1000),"Not Started")))</f>
        <v/>
      </c>
      <c r="L447" s="5" t="str">
        <f>IF($A447="","",SUMIFS(WIPLog!$H:$H,WIPLog!$C:$C,$A447))</f>
        <v/>
      </c>
      <c r="M447" s="5" t="str">
        <f>IF($A447="","",SUMIFS(WIPLog!$I:$I,WIPLog!$C:$C,$A447))</f>
        <v/>
      </c>
      <c r="N447" s="5" t="str">
        <f>IF($A447="","",SUMIFS(WIPLog!$K:$K,WIPLog!$C:$C,$A447))</f>
        <v/>
      </c>
      <c r="O447" s="5" t="str">
        <f>IF($A447="","",SUMIFS('Delivery Log'!$E:$E,'Delivery Log'!$B:$B,$A447))</f>
        <v/>
      </c>
      <c r="P447" s="5" t="str">
        <f t="shared" si="12"/>
        <v/>
      </c>
      <c r="Q447" t="str">
        <f t="shared" si="13"/>
        <v/>
      </c>
    </row>
    <row r="448" spans="7:17">
      <c r="G448" s="5"/>
      <c r="H448" s="4"/>
      <c r="I448" s="4"/>
      <c r="K448" t="str">
        <f>IF($A448="","",IF($O448&gt;=$G448,"Delivered",IFERROR(LOOKUP(2,1/(WIPLog!$C$2:$C$1000=$A448),WIPLog!$F$2:$F$1000),"Not Started")))</f>
        <v/>
      </c>
      <c r="L448" s="5" t="str">
        <f>IF($A448="","",SUMIFS(WIPLog!$H:$H,WIPLog!$C:$C,$A448))</f>
        <v/>
      </c>
      <c r="M448" s="5" t="str">
        <f>IF($A448="","",SUMIFS(WIPLog!$I:$I,WIPLog!$C:$C,$A448))</f>
        <v/>
      </c>
      <c r="N448" s="5" t="str">
        <f>IF($A448="","",SUMIFS(WIPLog!$K:$K,WIPLog!$C:$C,$A448))</f>
        <v/>
      </c>
      <c r="O448" s="5" t="str">
        <f>IF($A448="","",SUMIFS('Delivery Log'!$E:$E,'Delivery Log'!$B:$B,$A448))</f>
        <v/>
      </c>
      <c r="P448" s="5" t="str">
        <f t="shared" si="12"/>
        <v/>
      </c>
      <c r="Q448" t="str">
        <f t="shared" si="13"/>
        <v/>
      </c>
    </row>
    <row r="449" spans="7:17">
      <c r="G449" s="5"/>
      <c r="H449" s="4"/>
      <c r="I449" s="4"/>
      <c r="K449" t="str">
        <f>IF($A449="","",IF($O449&gt;=$G449,"Delivered",IFERROR(LOOKUP(2,1/(WIPLog!$C$2:$C$1000=$A449),WIPLog!$F$2:$F$1000),"Not Started")))</f>
        <v/>
      </c>
      <c r="L449" s="5" t="str">
        <f>IF($A449="","",SUMIFS(WIPLog!$H:$H,WIPLog!$C:$C,$A449))</f>
        <v/>
      </c>
      <c r="M449" s="5" t="str">
        <f>IF($A449="","",SUMIFS(WIPLog!$I:$I,WIPLog!$C:$C,$A449))</f>
        <v/>
      </c>
      <c r="N449" s="5" t="str">
        <f>IF($A449="","",SUMIFS(WIPLog!$K:$K,WIPLog!$C:$C,$A449))</f>
        <v/>
      </c>
      <c r="O449" s="5" t="str">
        <f>IF($A449="","",SUMIFS('Delivery Log'!$E:$E,'Delivery Log'!$B:$B,$A449))</f>
        <v/>
      </c>
      <c r="P449" s="5" t="str">
        <f t="shared" si="12"/>
        <v/>
      </c>
      <c r="Q449" t="str">
        <f t="shared" si="13"/>
        <v/>
      </c>
    </row>
    <row r="450" spans="7:17">
      <c r="G450" s="5"/>
      <c r="H450" s="4"/>
      <c r="I450" s="4"/>
      <c r="K450" t="str">
        <f>IF($A450="","",IF($O450&gt;=$G450,"Delivered",IFERROR(LOOKUP(2,1/(WIPLog!$C$2:$C$1000=$A450),WIPLog!$F$2:$F$1000),"Not Started")))</f>
        <v/>
      </c>
      <c r="L450" s="5" t="str">
        <f>IF($A450="","",SUMIFS(WIPLog!$H:$H,WIPLog!$C:$C,$A450))</f>
        <v/>
      </c>
      <c r="M450" s="5" t="str">
        <f>IF($A450="","",SUMIFS(WIPLog!$I:$I,WIPLog!$C:$C,$A450))</f>
        <v/>
      </c>
      <c r="N450" s="5" t="str">
        <f>IF($A450="","",SUMIFS(WIPLog!$K:$K,WIPLog!$C:$C,$A450))</f>
        <v/>
      </c>
      <c r="O450" s="5" t="str">
        <f>IF($A450="","",SUMIFS('Delivery Log'!$E:$E,'Delivery Log'!$B:$B,$A450))</f>
        <v/>
      </c>
      <c r="P450" s="5" t="str">
        <f t="shared" ref="P450:P500" si="14">IF($A450="","",MAX(0,$G450-$O450-$N450))</f>
        <v/>
      </c>
      <c r="Q450" t="str">
        <f t="shared" ref="Q450:Q500" si="15">IF($A450="","",IF($O450&gt;=$G450,"Delivered",IF($O450&gt;0,"Partial",IF($P450=0,"Closed","Open"))))</f>
        <v/>
      </c>
    </row>
    <row r="451" spans="7:17">
      <c r="G451" s="5"/>
      <c r="H451" s="4"/>
      <c r="I451" s="4"/>
      <c r="K451" t="str">
        <f>IF($A451="","",IF($O451&gt;=$G451,"Delivered",IFERROR(LOOKUP(2,1/(WIPLog!$C$2:$C$1000=$A451),WIPLog!$F$2:$F$1000),"Not Started")))</f>
        <v/>
      </c>
      <c r="L451" s="5" t="str">
        <f>IF($A451="","",SUMIFS(WIPLog!$H:$H,WIPLog!$C:$C,$A451))</f>
        <v/>
      </c>
      <c r="M451" s="5" t="str">
        <f>IF($A451="","",SUMIFS(WIPLog!$I:$I,WIPLog!$C:$C,$A451))</f>
        <v/>
      </c>
      <c r="N451" s="5" t="str">
        <f>IF($A451="","",SUMIFS(WIPLog!$K:$K,WIPLog!$C:$C,$A451))</f>
        <v/>
      </c>
      <c r="O451" s="5" t="str">
        <f>IF($A451="","",SUMIFS('Delivery Log'!$E:$E,'Delivery Log'!$B:$B,$A451))</f>
        <v/>
      </c>
      <c r="P451" s="5" t="str">
        <f t="shared" si="14"/>
        <v/>
      </c>
      <c r="Q451" t="str">
        <f t="shared" si="15"/>
        <v/>
      </c>
    </row>
    <row r="452" spans="7:17">
      <c r="G452" s="5"/>
      <c r="H452" s="4"/>
      <c r="I452" s="4"/>
      <c r="K452" t="str">
        <f>IF($A452="","",IF($O452&gt;=$G452,"Delivered",IFERROR(LOOKUP(2,1/(WIPLog!$C$2:$C$1000=$A452),WIPLog!$F$2:$F$1000),"Not Started")))</f>
        <v/>
      </c>
      <c r="L452" s="5" t="str">
        <f>IF($A452="","",SUMIFS(WIPLog!$H:$H,WIPLog!$C:$C,$A452))</f>
        <v/>
      </c>
      <c r="M452" s="5" t="str">
        <f>IF($A452="","",SUMIFS(WIPLog!$I:$I,WIPLog!$C:$C,$A452))</f>
        <v/>
      </c>
      <c r="N452" s="5" t="str">
        <f>IF($A452="","",SUMIFS(WIPLog!$K:$K,WIPLog!$C:$C,$A452))</f>
        <v/>
      </c>
      <c r="O452" s="5" t="str">
        <f>IF($A452="","",SUMIFS('Delivery Log'!$E:$E,'Delivery Log'!$B:$B,$A452))</f>
        <v/>
      </c>
      <c r="P452" s="5" t="str">
        <f t="shared" si="14"/>
        <v/>
      </c>
      <c r="Q452" t="str">
        <f t="shared" si="15"/>
        <v/>
      </c>
    </row>
    <row r="453" spans="7:17">
      <c r="G453" s="5"/>
      <c r="H453" s="4"/>
      <c r="I453" s="4"/>
      <c r="K453" t="str">
        <f>IF($A453="","",IF($O453&gt;=$G453,"Delivered",IFERROR(LOOKUP(2,1/(WIPLog!$C$2:$C$1000=$A453),WIPLog!$F$2:$F$1000),"Not Started")))</f>
        <v/>
      </c>
      <c r="L453" s="5" t="str">
        <f>IF($A453="","",SUMIFS(WIPLog!$H:$H,WIPLog!$C:$C,$A453))</f>
        <v/>
      </c>
      <c r="M453" s="5" t="str">
        <f>IF($A453="","",SUMIFS(WIPLog!$I:$I,WIPLog!$C:$C,$A453))</f>
        <v/>
      </c>
      <c r="N453" s="5" t="str">
        <f>IF($A453="","",SUMIFS(WIPLog!$K:$K,WIPLog!$C:$C,$A453))</f>
        <v/>
      </c>
      <c r="O453" s="5" t="str">
        <f>IF($A453="","",SUMIFS('Delivery Log'!$E:$E,'Delivery Log'!$B:$B,$A453))</f>
        <v/>
      </c>
      <c r="P453" s="5" t="str">
        <f t="shared" si="14"/>
        <v/>
      </c>
      <c r="Q453" t="str">
        <f t="shared" si="15"/>
        <v/>
      </c>
    </row>
    <row r="454" spans="7:17">
      <c r="G454" s="5"/>
      <c r="H454" s="4"/>
      <c r="I454" s="4"/>
      <c r="K454" t="str">
        <f>IF($A454="","",IF($O454&gt;=$G454,"Delivered",IFERROR(LOOKUP(2,1/(WIPLog!$C$2:$C$1000=$A454),WIPLog!$F$2:$F$1000),"Not Started")))</f>
        <v/>
      </c>
      <c r="L454" s="5" t="str">
        <f>IF($A454="","",SUMIFS(WIPLog!$H:$H,WIPLog!$C:$C,$A454))</f>
        <v/>
      </c>
      <c r="M454" s="5" t="str">
        <f>IF($A454="","",SUMIFS(WIPLog!$I:$I,WIPLog!$C:$C,$A454))</f>
        <v/>
      </c>
      <c r="N454" s="5" t="str">
        <f>IF($A454="","",SUMIFS(WIPLog!$K:$K,WIPLog!$C:$C,$A454))</f>
        <v/>
      </c>
      <c r="O454" s="5" t="str">
        <f>IF($A454="","",SUMIFS('Delivery Log'!$E:$E,'Delivery Log'!$B:$B,$A454))</f>
        <v/>
      </c>
      <c r="P454" s="5" t="str">
        <f t="shared" si="14"/>
        <v/>
      </c>
      <c r="Q454" t="str">
        <f t="shared" si="15"/>
        <v/>
      </c>
    </row>
    <row r="455" spans="7:17">
      <c r="G455" s="5"/>
      <c r="H455" s="4"/>
      <c r="I455" s="4"/>
      <c r="K455" t="str">
        <f>IF($A455="","",IF($O455&gt;=$G455,"Delivered",IFERROR(LOOKUP(2,1/(WIPLog!$C$2:$C$1000=$A455),WIPLog!$F$2:$F$1000),"Not Started")))</f>
        <v/>
      </c>
      <c r="L455" s="5" t="str">
        <f>IF($A455="","",SUMIFS(WIPLog!$H:$H,WIPLog!$C:$C,$A455))</f>
        <v/>
      </c>
      <c r="M455" s="5" t="str">
        <f>IF($A455="","",SUMIFS(WIPLog!$I:$I,WIPLog!$C:$C,$A455))</f>
        <v/>
      </c>
      <c r="N455" s="5" t="str">
        <f>IF($A455="","",SUMIFS(WIPLog!$K:$K,WIPLog!$C:$C,$A455))</f>
        <v/>
      </c>
      <c r="O455" s="5" t="str">
        <f>IF($A455="","",SUMIFS('Delivery Log'!$E:$E,'Delivery Log'!$B:$B,$A455))</f>
        <v/>
      </c>
      <c r="P455" s="5" t="str">
        <f t="shared" si="14"/>
        <v/>
      </c>
      <c r="Q455" t="str">
        <f t="shared" si="15"/>
        <v/>
      </c>
    </row>
    <row r="456" spans="7:17">
      <c r="G456" s="5"/>
      <c r="H456" s="4"/>
      <c r="I456" s="4"/>
      <c r="K456" t="str">
        <f>IF($A456="","",IF($O456&gt;=$G456,"Delivered",IFERROR(LOOKUP(2,1/(WIPLog!$C$2:$C$1000=$A456),WIPLog!$F$2:$F$1000),"Not Started")))</f>
        <v/>
      </c>
      <c r="L456" s="5" t="str">
        <f>IF($A456="","",SUMIFS(WIPLog!$H:$H,WIPLog!$C:$C,$A456))</f>
        <v/>
      </c>
      <c r="M456" s="5" t="str">
        <f>IF($A456="","",SUMIFS(WIPLog!$I:$I,WIPLog!$C:$C,$A456))</f>
        <v/>
      </c>
      <c r="N456" s="5" t="str">
        <f>IF($A456="","",SUMIFS(WIPLog!$K:$K,WIPLog!$C:$C,$A456))</f>
        <v/>
      </c>
      <c r="O456" s="5" t="str">
        <f>IF($A456="","",SUMIFS('Delivery Log'!$E:$E,'Delivery Log'!$B:$B,$A456))</f>
        <v/>
      </c>
      <c r="P456" s="5" t="str">
        <f t="shared" si="14"/>
        <v/>
      </c>
      <c r="Q456" t="str">
        <f t="shared" si="15"/>
        <v/>
      </c>
    </row>
    <row r="457" spans="7:17">
      <c r="G457" s="5"/>
      <c r="H457" s="4"/>
      <c r="I457" s="4"/>
      <c r="K457" t="str">
        <f>IF($A457="","",IF($O457&gt;=$G457,"Delivered",IFERROR(LOOKUP(2,1/(WIPLog!$C$2:$C$1000=$A457),WIPLog!$F$2:$F$1000),"Not Started")))</f>
        <v/>
      </c>
      <c r="L457" s="5" t="str">
        <f>IF($A457="","",SUMIFS(WIPLog!$H:$H,WIPLog!$C:$C,$A457))</f>
        <v/>
      </c>
      <c r="M457" s="5" t="str">
        <f>IF($A457="","",SUMIFS(WIPLog!$I:$I,WIPLog!$C:$C,$A457))</f>
        <v/>
      </c>
      <c r="N457" s="5" t="str">
        <f>IF($A457="","",SUMIFS(WIPLog!$K:$K,WIPLog!$C:$C,$A457))</f>
        <v/>
      </c>
      <c r="O457" s="5" t="str">
        <f>IF($A457="","",SUMIFS('Delivery Log'!$E:$E,'Delivery Log'!$B:$B,$A457))</f>
        <v/>
      </c>
      <c r="P457" s="5" t="str">
        <f t="shared" si="14"/>
        <v/>
      </c>
      <c r="Q457" t="str">
        <f t="shared" si="15"/>
        <v/>
      </c>
    </row>
    <row r="458" spans="7:17">
      <c r="G458" s="5"/>
      <c r="H458" s="4"/>
      <c r="I458" s="4"/>
      <c r="K458" t="str">
        <f>IF($A458="","",IF($O458&gt;=$G458,"Delivered",IFERROR(LOOKUP(2,1/(WIPLog!$C$2:$C$1000=$A458),WIPLog!$F$2:$F$1000),"Not Started")))</f>
        <v/>
      </c>
      <c r="L458" s="5" t="str">
        <f>IF($A458="","",SUMIFS(WIPLog!$H:$H,WIPLog!$C:$C,$A458))</f>
        <v/>
      </c>
      <c r="M458" s="5" t="str">
        <f>IF($A458="","",SUMIFS(WIPLog!$I:$I,WIPLog!$C:$C,$A458))</f>
        <v/>
      </c>
      <c r="N458" s="5" t="str">
        <f>IF($A458="","",SUMIFS(WIPLog!$K:$K,WIPLog!$C:$C,$A458))</f>
        <v/>
      </c>
      <c r="O458" s="5" t="str">
        <f>IF($A458="","",SUMIFS('Delivery Log'!$E:$E,'Delivery Log'!$B:$B,$A458))</f>
        <v/>
      </c>
      <c r="P458" s="5" t="str">
        <f t="shared" si="14"/>
        <v/>
      </c>
      <c r="Q458" t="str">
        <f t="shared" si="15"/>
        <v/>
      </c>
    </row>
    <row r="459" spans="7:17">
      <c r="G459" s="5"/>
      <c r="H459" s="4"/>
      <c r="I459" s="4"/>
      <c r="K459" t="str">
        <f>IF($A459="","",IF($O459&gt;=$G459,"Delivered",IFERROR(LOOKUP(2,1/(WIPLog!$C$2:$C$1000=$A459),WIPLog!$F$2:$F$1000),"Not Started")))</f>
        <v/>
      </c>
      <c r="L459" s="5" t="str">
        <f>IF($A459="","",SUMIFS(WIPLog!$H:$H,WIPLog!$C:$C,$A459))</f>
        <v/>
      </c>
      <c r="M459" s="5" t="str">
        <f>IF($A459="","",SUMIFS(WIPLog!$I:$I,WIPLog!$C:$C,$A459))</f>
        <v/>
      </c>
      <c r="N459" s="5" t="str">
        <f>IF($A459="","",SUMIFS(WIPLog!$K:$K,WIPLog!$C:$C,$A459))</f>
        <v/>
      </c>
      <c r="O459" s="5" t="str">
        <f>IF($A459="","",SUMIFS('Delivery Log'!$E:$E,'Delivery Log'!$B:$B,$A459))</f>
        <v/>
      </c>
      <c r="P459" s="5" t="str">
        <f t="shared" si="14"/>
        <v/>
      </c>
      <c r="Q459" t="str">
        <f t="shared" si="15"/>
        <v/>
      </c>
    </row>
    <row r="460" spans="7:17">
      <c r="G460" s="5"/>
      <c r="H460" s="4"/>
      <c r="I460" s="4"/>
      <c r="K460" t="str">
        <f>IF($A460="","",IF($O460&gt;=$G460,"Delivered",IFERROR(LOOKUP(2,1/(WIPLog!$C$2:$C$1000=$A460),WIPLog!$F$2:$F$1000),"Not Started")))</f>
        <v/>
      </c>
      <c r="L460" s="5" t="str">
        <f>IF($A460="","",SUMIFS(WIPLog!$H:$H,WIPLog!$C:$C,$A460))</f>
        <v/>
      </c>
      <c r="M460" s="5" t="str">
        <f>IF($A460="","",SUMIFS(WIPLog!$I:$I,WIPLog!$C:$C,$A460))</f>
        <v/>
      </c>
      <c r="N460" s="5" t="str">
        <f>IF($A460="","",SUMIFS(WIPLog!$K:$K,WIPLog!$C:$C,$A460))</f>
        <v/>
      </c>
      <c r="O460" s="5" t="str">
        <f>IF($A460="","",SUMIFS('Delivery Log'!$E:$E,'Delivery Log'!$B:$B,$A460))</f>
        <v/>
      </c>
      <c r="P460" s="5" t="str">
        <f t="shared" si="14"/>
        <v/>
      </c>
      <c r="Q460" t="str">
        <f t="shared" si="15"/>
        <v/>
      </c>
    </row>
    <row r="461" spans="7:17">
      <c r="G461" s="5"/>
      <c r="H461" s="4"/>
      <c r="I461" s="4"/>
      <c r="K461" t="str">
        <f>IF($A461="","",IF($O461&gt;=$G461,"Delivered",IFERROR(LOOKUP(2,1/(WIPLog!$C$2:$C$1000=$A461),WIPLog!$F$2:$F$1000),"Not Started")))</f>
        <v/>
      </c>
      <c r="L461" s="5" t="str">
        <f>IF($A461="","",SUMIFS(WIPLog!$H:$H,WIPLog!$C:$C,$A461))</f>
        <v/>
      </c>
      <c r="M461" s="5" t="str">
        <f>IF($A461="","",SUMIFS(WIPLog!$I:$I,WIPLog!$C:$C,$A461))</f>
        <v/>
      </c>
      <c r="N461" s="5" t="str">
        <f>IF($A461="","",SUMIFS(WIPLog!$K:$K,WIPLog!$C:$C,$A461))</f>
        <v/>
      </c>
      <c r="O461" s="5" t="str">
        <f>IF($A461="","",SUMIFS('Delivery Log'!$E:$E,'Delivery Log'!$B:$B,$A461))</f>
        <v/>
      </c>
      <c r="P461" s="5" t="str">
        <f t="shared" si="14"/>
        <v/>
      </c>
      <c r="Q461" t="str">
        <f t="shared" si="15"/>
        <v/>
      </c>
    </row>
    <row r="462" spans="7:17">
      <c r="G462" s="5"/>
      <c r="H462" s="4"/>
      <c r="I462" s="4"/>
      <c r="K462" t="str">
        <f>IF($A462="","",IF($O462&gt;=$G462,"Delivered",IFERROR(LOOKUP(2,1/(WIPLog!$C$2:$C$1000=$A462),WIPLog!$F$2:$F$1000),"Not Started")))</f>
        <v/>
      </c>
      <c r="L462" s="5" t="str">
        <f>IF($A462="","",SUMIFS(WIPLog!$H:$H,WIPLog!$C:$C,$A462))</f>
        <v/>
      </c>
      <c r="M462" s="5" t="str">
        <f>IF($A462="","",SUMIFS(WIPLog!$I:$I,WIPLog!$C:$C,$A462))</f>
        <v/>
      </c>
      <c r="N462" s="5" t="str">
        <f>IF($A462="","",SUMIFS(WIPLog!$K:$K,WIPLog!$C:$C,$A462))</f>
        <v/>
      </c>
      <c r="O462" s="5" t="str">
        <f>IF($A462="","",SUMIFS('Delivery Log'!$E:$E,'Delivery Log'!$B:$B,$A462))</f>
        <v/>
      </c>
      <c r="P462" s="5" t="str">
        <f t="shared" si="14"/>
        <v/>
      </c>
      <c r="Q462" t="str">
        <f t="shared" si="15"/>
        <v/>
      </c>
    </row>
    <row r="463" spans="7:17">
      <c r="G463" s="5"/>
      <c r="H463" s="4"/>
      <c r="I463" s="4"/>
      <c r="K463" t="str">
        <f>IF($A463="","",IF($O463&gt;=$G463,"Delivered",IFERROR(LOOKUP(2,1/(WIPLog!$C$2:$C$1000=$A463),WIPLog!$F$2:$F$1000),"Not Started")))</f>
        <v/>
      </c>
      <c r="L463" s="5" t="str">
        <f>IF($A463="","",SUMIFS(WIPLog!$H:$H,WIPLog!$C:$C,$A463))</f>
        <v/>
      </c>
      <c r="M463" s="5" t="str">
        <f>IF($A463="","",SUMIFS(WIPLog!$I:$I,WIPLog!$C:$C,$A463))</f>
        <v/>
      </c>
      <c r="N463" s="5" t="str">
        <f>IF($A463="","",SUMIFS(WIPLog!$K:$K,WIPLog!$C:$C,$A463))</f>
        <v/>
      </c>
      <c r="O463" s="5" t="str">
        <f>IF($A463="","",SUMIFS('Delivery Log'!$E:$E,'Delivery Log'!$B:$B,$A463))</f>
        <v/>
      </c>
      <c r="P463" s="5" t="str">
        <f t="shared" si="14"/>
        <v/>
      </c>
      <c r="Q463" t="str">
        <f t="shared" si="15"/>
        <v/>
      </c>
    </row>
    <row r="464" spans="7:17">
      <c r="G464" s="5"/>
      <c r="H464" s="4"/>
      <c r="I464" s="4"/>
      <c r="K464" t="str">
        <f>IF($A464="","",IF($O464&gt;=$G464,"Delivered",IFERROR(LOOKUP(2,1/(WIPLog!$C$2:$C$1000=$A464),WIPLog!$F$2:$F$1000),"Not Started")))</f>
        <v/>
      </c>
      <c r="L464" s="5" t="str">
        <f>IF($A464="","",SUMIFS(WIPLog!$H:$H,WIPLog!$C:$C,$A464))</f>
        <v/>
      </c>
      <c r="M464" s="5" t="str">
        <f>IF($A464="","",SUMIFS(WIPLog!$I:$I,WIPLog!$C:$C,$A464))</f>
        <v/>
      </c>
      <c r="N464" s="5" t="str">
        <f>IF($A464="","",SUMIFS(WIPLog!$K:$K,WIPLog!$C:$C,$A464))</f>
        <v/>
      </c>
      <c r="O464" s="5" t="str">
        <f>IF($A464="","",SUMIFS('Delivery Log'!$E:$E,'Delivery Log'!$B:$B,$A464))</f>
        <v/>
      </c>
      <c r="P464" s="5" t="str">
        <f t="shared" si="14"/>
        <v/>
      </c>
      <c r="Q464" t="str">
        <f t="shared" si="15"/>
        <v/>
      </c>
    </row>
    <row r="465" spans="7:17">
      <c r="G465" s="5"/>
      <c r="H465" s="4"/>
      <c r="I465" s="4"/>
      <c r="K465" t="str">
        <f>IF($A465="","",IF($O465&gt;=$G465,"Delivered",IFERROR(LOOKUP(2,1/(WIPLog!$C$2:$C$1000=$A465),WIPLog!$F$2:$F$1000),"Not Started")))</f>
        <v/>
      </c>
      <c r="L465" s="5" t="str">
        <f>IF($A465="","",SUMIFS(WIPLog!$H:$H,WIPLog!$C:$C,$A465))</f>
        <v/>
      </c>
      <c r="M465" s="5" t="str">
        <f>IF($A465="","",SUMIFS(WIPLog!$I:$I,WIPLog!$C:$C,$A465))</f>
        <v/>
      </c>
      <c r="N465" s="5" t="str">
        <f>IF($A465="","",SUMIFS(WIPLog!$K:$K,WIPLog!$C:$C,$A465))</f>
        <v/>
      </c>
      <c r="O465" s="5" t="str">
        <f>IF($A465="","",SUMIFS('Delivery Log'!$E:$E,'Delivery Log'!$B:$B,$A465))</f>
        <v/>
      </c>
      <c r="P465" s="5" t="str">
        <f t="shared" si="14"/>
        <v/>
      </c>
      <c r="Q465" t="str">
        <f t="shared" si="15"/>
        <v/>
      </c>
    </row>
    <row r="466" spans="7:17">
      <c r="G466" s="5"/>
      <c r="H466" s="4"/>
      <c r="I466" s="4"/>
      <c r="K466" t="str">
        <f>IF($A466="","",IF($O466&gt;=$G466,"Delivered",IFERROR(LOOKUP(2,1/(WIPLog!$C$2:$C$1000=$A466),WIPLog!$F$2:$F$1000),"Not Started")))</f>
        <v/>
      </c>
      <c r="L466" s="5" t="str">
        <f>IF($A466="","",SUMIFS(WIPLog!$H:$H,WIPLog!$C:$C,$A466))</f>
        <v/>
      </c>
      <c r="M466" s="5" t="str">
        <f>IF($A466="","",SUMIFS(WIPLog!$I:$I,WIPLog!$C:$C,$A466))</f>
        <v/>
      </c>
      <c r="N466" s="5" t="str">
        <f>IF($A466="","",SUMIFS(WIPLog!$K:$K,WIPLog!$C:$C,$A466))</f>
        <v/>
      </c>
      <c r="O466" s="5" t="str">
        <f>IF($A466="","",SUMIFS('Delivery Log'!$E:$E,'Delivery Log'!$B:$B,$A466))</f>
        <v/>
      </c>
      <c r="P466" s="5" t="str">
        <f t="shared" si="14"/>
        <v/>
      </c>
      <c r="Q466" t="str">
        <f t="shared" si="15"/>
        <v/>
      </c>
    </row>
    <row r="467" spans="7:17">
      <c r="G467" s="5"/>
      <c r="H467" s="4"/>
      <c r="I467" s="4"/>
      <c r="K467" t="str">
        <f>IF($A467="","",IF($O467&gt;=$G467,"Delivered",IFERROR(LOOKUP(2,1/(WIPLog!$C$2:$C$1000=$A467),WIPLog!$F$2:$F$1000),"Not Started")))</f>
        <v/>
      </c>
      <c r="L467" s="5" t="str">
        <f>IF($A467="","",SUMIFS(WIPLog!$H:$H,WIPLog!$C:$C,$A467))</f>
        <v/>
      </c>
      <c r="M467" s="5" t="str">
        <f>IF($A467="","",SUMIFS(WIPLog!$I:$I,WIPLog!$C:$C,$A467))</f>
        <v/>
      </c>
      <c r="N467" s="5" t="str">
        <f>IF($A467="","",SUMIFS(WIPLog!$K:$K,WIPLog!$C:$C,$A467))</f>
        <v/>
      </c>
      <c r="O467" s="5" t="str">
        <f>IF($A467="","",SUMIFS('Delivery Log'!$E:$E,'Delivery Log'!$B:$B,$A467))</f>
        <v/>
      </c>
      <c r="P467" s="5" t="str">
        <f t="shared" si="14"/>
        <v/>
      </c>
      <c r="Q467" t="str">
        <f t="shared" si="15"/>
        <v/>
      </c>
    </row>
    <row r="468" spans="7:17">
      <c r="G468" s="5"/>
      <c r="H468" s="4"/>
      <c r="I468" s="4"/>
      <c r="K468" t="str">
        <f>IF($A468="","",IF($O468&gt;=$G468,"Delivered",IFERROR(LOOKUP(2,1/(WIPLog!$C$2:$C$1000=$A468),WIPLog!$F$2:$F$1000),"Not Started")))</f>
        <v/>
      </c>
      <c r="L468" s="5" t="str">
        <f>IF($A468="","",SUMIFS(WIPLog!$H:$H,WIPLog!$C:$C,$A468))</f>
        <v/>
      </c>
      <c r="M468" s="5" t="str">
        <f>IF($A468="","",SUMIFS(WIPLog!$I:$I,WIPLog!$C:$C,$A468))</f>
        <v/>
      </c>
      <c r="N468" s="5" t="str">
        <f>IF($A468="","",SUMIFS(WIPLog!$K:$K,WIPLog!$C:$C,$A468))</f>
        <v/>
      </c>
      <c r="O468" s="5" t="str">
        <f>IF($A468="","",SUMIFS('Delivery Log'!$E:$E,'Delivery Log'!$B:$B,$A468))</f>
        <v/>
      </c>
      <c r="P468" s="5" t="str">
        <f t="shared" si="14"/>
        <v/>
      </c>
      <c r="Q468" t="str">
        <f t="shared" si="15"/>
        <v/>
      </c>
    </row>
    <row r="469" spans="7:17">
      <c r="G469" s="5"/>
      <c r="H469" s="4"/>
      <c r="I469" s="4"/>
      <c r="K469" t="str">
        <f>IF($A469="","",IF($O469&gt;=$G469,"Delivered",IFERROR(LOOKUP(2,1/(WIPLog!$C$2:$C$1000=$A469),WIPLog!$F$2:$F$1000),"Not Started")))</f>
        <v/>
      </c>
      <c r="L469" s="5" t="str">
        <f>IF($A469="","",SUMIFS(WIPLog!$H:$H,WIPLog!$C:$C,$A469))</f>
        <v/>
      </c>
      <c r="M469" s="5" t="str">
        <f>IF($A469="","",SUMIFS(WIPLog!$I:$I,WIPLog!$C:$C,$A469))</f>
        <v/>
      </c>
      <c r="N469" s="5" t="str">
        <f>IF($A469="","",SUMIFS(WIPLog!$K:$K,WIPLog!$C:$C,$A469))</f>
        <v/>
      </c>
      <c r="O469" s="5" t="str">
        <f>IF($A469="","",SUMIFS('Delivery Log'!$E:$E,'Delivery Log'!$B:$B,$A469))</f>
        <v/>
      </c>
      <c r="P469" s="5" t="str">
        <f t="shared" si="14"/>
        <v/>
      </c>
      <c r="Q469" t="str">
        <f t="shared" si="15"/>
        <v/>
      </c>
    </row>
    <row r="470" spans="7:17">
      <c r="G470" s="5"/>
      <c r="H470" s="4"/>
      <c r="I470" s="4"/>
      <c r="K470" t="str">
        <f>IF($A470="","",IF($O470&gt;=$G470,"Delivered",IFERROR(LOOKUP(2,1/(WIPLog!$C$2:$C$1000=$A470),WIPLog!$F$2:$F$1000),"Not Started")))</f>
        <v/>
      </c>
      <c r="L470" s="5" t="str">
        <f>IF($A470="","",SUMIFS(WIPLog!$H:$H,WIPLog!$C:$C,$A470))</f>
        <v/>
      </c>
      <c r="M470" s="5" t="str">
        <f>IF($A470="","",SUMIFS(WIPLog!$I:$I,WIPLog!$C:$C,$A470))</f>
        <v/>
      </c>
      <c r="N470" s="5" t="str">
        <f>IF($A470="","",SUMIFS(WIPLog!$K:$K,WIPLog!$C:$C,$A470))</f>
        <v/>
      </c>
      <c r="O470" s="5" t="str">
        <f>IF($A470="","",SUMIFS('Delivery Log'!$E:$E,'Delivery Log'!$B:$B,$A470))</f>
        <v/>
      </c>
      <c r="P470" s="5" t="str">
        <f t="shared" si="14"/>
        <v/>
      </c>
      <c r="Q470" t="str">
        <f t="shared" si="15"/>
        <v/>
      </c>
    </row>
    <row r="471" spans="7:17">
      <c r="G471" s="5"/>
      <c r="H471" s="4"/>
      <c r="I471" s="4"/>
      <c r="K471" t="str">
        <f>IF($A471="","",IF($O471&gt;=$G471,"Delivered",IFERROR(LOOKUP(2,1/(WIPLog!$C$2:$C$1000=$A471),WIPLog!$F$2:$F$1000),"Not Started")))</f>
        <v/>
      </c>
      <c r="L471" s="5" t="str">
        <f>IF($A471="","",SUMIFS(WIPLog!$H:$H,WIPLog!$C:$C,$A471))</f>
        <v/>
      </c>
      <c r="M471" s="5" t="str">
        <f>IF($A471="","",SUMIFS(WIPLog!$I:$I,WIPLog!$C:$C,$A471))</f>
        <v/>
      </c>
      <c r="N471" s="5" t="str">
        <f>IF($A471="","",SUMIFS(WIPLog!$K:$K,WIPLog!$C:$C,$A471))</f>
        <v/>
      </c>
      <c r="O471" s="5" t="str">
        <f>IF($A471="","",SUMIFS('Delivery Log'!$E:$E,'Delivery Log'!$B:$B,$A471))</f>
        <v/>
      </c>
      <c r="P471" s="5" t="str">
        <f t="shared" si="14"/>
        <v/>
      </c>
      <c r="Q471" t="str">
        <f t="shared" si="15"/>
        <v/>
      </c>
    </row>
    <row r="472" spans="7:17">
      <c r="G472" s="5"/>
      <c r="H472" s="4"/>
      <c r="I472" s="4"/>
      <c r="K472" t="str">
        <f>IF($A472="","",IF($O472&gt;=$G472,"Delivered",IFERROR(LOOKUP(2,1/(WIPLog!$C$2:$C$1000=$A472),WIPLog!$F$2:$F$1000),"Not Started")))</f>
        <v/>
      </c>
      <c r="L472" s="5" t="str">
        <f>IF($A472="","",SUMIFS(WIPLog!$H:$H,WIPLog!$C:$C,$A472))</f>
        <v/>
      </c>
      <c r="M472" s="5" t="str">
        <f>IF($A472="","",SUMIFS(WIPLog!$I:$I,WIPLog!$C:$C,$A472))</f>
        <v/>
      </c>
      <c r="N472" s="5" t="str">
        <f>IF($A472="","",SUMIFS(WIPLog!$K:$K,WIPLog!$C:$C,$A472))</f>
        <v/>
      </c>
      <c r="O472" s="5" t="str">
        <f>IF($A472="","",SUMIFS('Delivery Log'!$E:$E,'Delivery Log'!$B:$B,$A472))</f>
        <v/>
      </c>
      <c r="P472" s="5" t="str">
        <f t="shared" si="14"/>
        <v/>
      </c>
      <c r="Q472" t="str">
        <f t="shared" si="15"/>
        <v/>
      </c>
    </row>
    <row r="473" spans="7:17">
      <c r="G473" s="5"/>
      <c r="H473" s="4"/>
      <c r="I473" s="4"/>
      <c r="K473" t="str">
        <f>IF($A473="","",IF($O473&gt;=$G473,"Delivered",IFERROR(LOOKUP(2,1/(WIPLog!$C$2:$C$1000=$A473),WIPLog!$F$2:$F$1000),"Not Started")))</f>
        <v/>
      </c>
      <c r="L473" s="5" t="str">
        <f>IF($A473="","",SUMIFS(WIPLog!$H:$H,WIPLog!$C:$C,$A473))</f>
        <v/>
      </c>
      <c r="M473" s="5" t="str">
        <f>IF($A473="","",SUMIFS(WIPLog!$I:$I,WIPLog!$C:$C,$A473))</f>
        <v/>
      </c>
      <c r="N473" s="5" t="str">
        <f>IF($A473="","",SUMIFS(WIPLog!$K:$K,WIPLog!$C:$C,$A473))</f>
        <v/>
      </c>
      <c r="O473" s="5" t="str">
        <f>IF($A473="","",SUMIFS('Delivery Log'!$E:$E,'Delivery Log'!$B:$B,$A473))</f>
        <v/>
      </c>
      <c r="P473" s="5" t="str">
        <f t="shared" si="14"/>
        <v/>
      </c>
      <c r="Q473" t="str">
        <f t="shared" si="15"/>
        <v/>
      </c>
    </row>
    <row r="474" spans="7:17">
      <c r="G474" s="5"/>
      <c r="H474" s="4"/>
      <c r="I474" s="4"/>
      <c r="K474" t="str">
        <f>IF($A474="","",IF($O474&gt;=$G474,"Delivered",IFERROR(LOOKUP(2,1/(WIPLog!$C$2:$C$1000=$A474),WIPLog!$F$2:$F$1000),"Not Started")))</f>
        <v/>
      </c>
      <c r="L474" s="5" t="str">
        <f>IF($A474="","",SUMIFS(WIPLog!$H:$H,WIPLog!$C:$C,$A474))</f>
        <v/>
      </c>
      <c r="M474" s="5" t="str">
        <f>IF($A474="","",SUMIFS(WIPLog!$I:$I,WIPLog!$C:$C,$A474))</f>
        <v/>
      </c>
      <c r="N474" s="5" t="str">
        <f>IF($A474="","",SUMIFS(WIPLog!$K:$K,WIPLog!$C:$C,$A474))</f>
        <v/>
      </c>
      <c r="O474" s="5" t="str">
        <f>IF($A474="","",SUMIFS('Delivery Log'!$E:$E,'Delivery Log'!$B:$B,$A474))</f>
        <v/>
      </c>
      <c r="P474" s="5" t="str">
        <f t="shared" si="14"/>
        <v/>
      </c>
      <c r="Q474" t="str">
        <f t="shared" si="15"/>
        <v/>
      </c>
    </row>
    <row r="475" spans="7:17">
      <c r="G475" s="5"/>
      <c r="H475" s="4"/>
      <c r="I475" s="4"/>
      <c r="K475" t="str">
        <f>IF($A475="","",IF($O475&gt;=$G475,"Delivered",IFERROR(LOOKUP(2,1/(WIPLog!$C$2:$C$1000=$A475),WIPLog!$F$2:$F$1000),"Not Started")))</f>
        <v/>
      </c>
      <c r="L475" s="5" t="str">
        <f>IF($A475="","",SUMIFS(WIPLog!$H:$H,WIPLog!$C:$C,$A475))</f>
        <v/>
      </c>
      <c r="M475" s="5" t="str">
        <f>IF($A475="","",SUMIFS(WIPLog!$I:$I,WIPLog!$C:$C,$A475))</f>
        <v/>
      </c>
      <c r="N475" s="5" t="str">
        <f>IF($A475="","",SUMIFS(WIPLog!$K:$K,WIPLog!$C:$C,$A475))</f>
        <v/>
      </c>
      <c r="O475" s="5" t="str">
        <f>IF($A475="","",SUMIFS('Delivery Log'!$E:$E,'Delivery Log'!$B:$B,$A475))</f>
        <v/>
      </c>
      <c r="P475" s="5" t="str">
        <f t="shared" si="14"/>
        <v/>
      </c>
      <c r="Q475" t="str">
        <f t="shared" si="15"/>
        <v/>
      </c>
    </row>
    <row r="476" spans="7:17">
      <c r="G476" s="5"/>
      <c r="H476" s="4"/>
      <c r="I476" s="4"/>
      <c r="K476" t="str">
        <f>IF($A476="","",IF($O476&gt;=$G476,"Delivered",IFERROR(LOOKUP(2,1/(WIPLog!$C$2:$C$1000=$A476),WIPLog!$F$2:$F$1000),"Not Started")))</f>
        <v/>
      </c>
      <c r="L476" s="5" t="str">
        <f>IF($A476="","",SUMIFS(WIPLog!$H:$H,WIPLog!$C:$C,$A476))</f>
        <v/>
      </c>
      <c r="M476" s="5" t="str">
        <f>IF($A476="","",SUMIFS(WIPLog!$I:$I,WIPLog!$C:$C,$A476))</f>
        <v/>
      </c>
      <c r="N476" s="5" t="str">
        <f>IF($A476="","",SUMIFS(WIPLog!$K:$K,WIPLog!$C:$C,$A476))</f>
        <v/>
      </c>
      <c r="O476" s="5" t="str">
        <f>IF($A476="","",SUMIFS('Delivery Log'!$E:$E,'Delivery Log'!$B:$B,$A476))</f>
        <v/>
      </c>
      <c r="P476" s="5" t="str">
        <f t="shared" si="14"/>
        <v/>
      </c>
      <c r="Q476" t="str">
        <f t="shared" si="15"/>
        <v/>
      </c>
    </row>
    <row r="477" spans="7:17">
      <c r="G477" s="5"/>
      <c r="H477" s="4"/>
      <c r="I477" s="4"/>
      <c r="K477" t="str">
        <f>IF($A477="","",IF($O477&gt;=$G477,"Delivered",IFERROR(LOOKUP(2,1/(WIPLog!$C$2:$C$1000=$A477),WIPLog!$F$2:$F$1000),"Not Started")))</f>
        <v/>
      </c>
      <c r="L477" s="5" t="str">
        <f>IF($A477="","",SUMIFS(WIPLog!$H:$H,WIPLog!$C:$C,$A477))</f>
        <v/>
      </c>
      <c r="M477" s="5" t="str">
        <f>IF($A477="","",SUMIFS(WIPLog!$I:$I,WIPLog!$C:$C,$A477))</f>
        <v/>
      </c>
      <c r="N477" s="5" t="str">
        <f>IF($A477="","",SUMIFS(WIPLog!$K:$K,WIPLog!$C:$C,$A477))</f>
        <v/>
      </c>
      <c r="O477" s="5" t="str">
        <f>IF($A477="","",SUMIFS('Delivery Log'!$E:$E,'Delivery Log'!$B:$B,$A477))</f>
        <v/>
      </c>
      <c r="P477" s="5" t="str">
        <f t="shared" si="14"/>
        <v/>
      </c>
      <c r="Q477" t="str">
        <f t="shared" si="15"/>
        <v/>
      </c>
    </row>
    <row r="478" spans="7:17">
      <c r="G478" s="5"/>
      <c r="H478" s="4"/>
      <c r="I478" s="4"/>
      <c r="K478" t="str">
        <f>IF($A478="","",IF($O478&gt;=$G478,"Delivered",IFERROR(LOOKUP(2,1/(WIPLog!$C$2:$C$1000=$A478),WIPLog!$F$2:$F$1000),"Not Started")))</f>
        <v/>
      </c>
      <c r="L478" s="5" t="str">
        <f>IF($A478="","",SUMIFS(WIPLog!$H:$H,WIPLog!$C:$C,$A478))</f>
        <v/>
      </c>
      <c r="M478" s="5" t="str">
        <f>IF($A478="","",SUMIFS(WIPLog!$I:$I,WIPLog!$C:$C,$A478))</f>
        <v/>
      </c>
      <c r="N478" s="5" t="str">
        <f>IF($A478="","",SUMIFS(WIPLog!$K:$K,WIPLog!$C:$C,$A478))</f>
        <v/>
      </c>
      <c r="O478" s="5" t="str">
        <f>IF($A478="","",SUMIFS('Delivery Log'!$E:$E,'Delivery Log'!$B:$B,$A478))</f>
        <v/>
      </c>
      <c r="P478" s="5" t="str">
        <f t="shared" si="14"/>
        <v/>
      </c>
      <c r="Q478" t="str">
        <f t="shared" si="15"/>
        <v/>
      </c>
    </row>
    <row r="479" spans="7:17">
      <c r="G479" s="5"/>
      <c r="H479" s="4"/>
      <c r="I479" s="4"/>
      <c r="K479" t="str">
        <f>IF($A479="","",IF($O479&gt;=$G479,"Delivered",IFERROR(LOOKUP(2,1/(WIPLog!$C$2:$C$1000=$A479),WIPLog!$F$2:$F$1000),"Not Started")))</f>
        <v/>
      </c>
      <c r="L479" s="5" t="str">
        <f>IF($A479="","",SUMIFS(WIPLog!$H:$H,WIPLog!$C:$C,$A479))</f>
        <v/>
      </c>
      <c r="M479" s="5" t="str">
        <f>IF($A479="","",SUMIFS(WIPLog!$I:$I,WIPLog!$C:$C,$A479))</f>
        <v/>
      </c>
      <c r="N479" s="5" t="str">
        <f>IF($A479="","",SUMIFS(WIPLog!$K:$K,WIPLog!$C:$C,$A479))</f>
        <v/>
      </c>
      <c r="O479" s="5" t="str">
        <f>IF($A479="","",SUMIFS('Delivery Log'!$E:$E,'Delivery Log'!$B:$B,$A479))</f>
        <v/>
      </c>
      <c r="P479" s="5" t="str">
        <f t="shared" si="14"/>
        <v/>
      </c>
      <c r="Q479" t="str">
        <f t="shared" si="15"/>
        <v/>
      </c>
    </row>
    <row r="480" spans="7:17">
      <c r="G480" s="5"/>
      <c r="H480" s="4"/>
      <c r="I480" s="4"/>
      <c r="K480" t="str">
        <f>IF($A480="","",IF($O480&gt;=$G480,"Delivered",IFERROR(LOOKUP(2,1/(WIPLog!$C$2:$C$1000=$A480),WIPLog!$F$2:$F$1000),"Not Started")))</f>
        <v/>
      </c>
      <c r="L480" s="5" t="str">
        <f>IF($A480="","",SUMIFS(WIPLog!$H:$H,WIPLog!$C:$C,$A480))</f>
        <v/>
      </c>
      <c r="M480" s="5" t="str">
        <f>IF($A480="","",SUMIFS(WIPLog!$I:$I,WIPLog!$C:$C,$A480))</f>
        <v/>
      </c>
      <c r="N480" s="5" t="str">
        <f>IF($A480="","",SUMIFS(WIPLog!$K:$K,WIPLog!$C:$C,$A480))</f>
        <v/>
      </c>
      <c r="O480" s="5" t="str">
        <f>IF($A480="","",SUMIFS('Delivery Log'!$E:$E,'Delivery Log'!$B:$B,$A480))</f>
        <v/>
      </c>
      <c r="P480" s="5" t="str">
        <f t="shared" si="14"/>
        <v/>
      </c>
      <c r="Q480" t="str">
        <f t="shared" si="15"/>
        <v/>
      </c>
    </row>
    <row r="481" spans="7:17">
      <c r="G481" s="5"/>
      <c r="H481" s="4"/>
      <c r="I481" s="4"/>
      <c r="K481" t="str">
        <f>IF($A481="","",IF($O481&gt;=$G481,"Delivered",IFERROR(LOOKUP(2,1/(WIPLog!$C$2:$C$1000=$A481),WIPLog!$F$2:$F$1000),"Not Started")))</f>
        <v/>
      </c>
      <c r="L481" s="5" t="str">
        <f>IF($A481="","",SUMIFS(WIPLog!$H:$H,WIPLog!$C:$C,$A481))</f>
        <v/>
      </c>
      <c r="M481" s="5" t="str">
        <f>IF($A481="","",SUMIFS(WIPLog!$I:$I,WIPLog!$C:$C,$A481))</f>
        <v/>
      </c>
      <c r="N481" s="5" t="str">
        <f>IF($A481="","",SUMIFS(WIPLog!$K:$K,WIPLog!$C:$C,$A481))</f>
        <v/>
      </c>
      <c r="O481" s="5" t="str">
        <f>IF($A481="","",SUMIFS('Delivery Log'!$E:$E,'Delivery Log'!$B:$B,$A481))</f>
        <v/>
      </c>
      <c r="P481" s="5" t="str">
        <f t="shared" si="14"/>
        <v/>
      </c>
      <c r="Q481" t="str">
        <f t="shared" si="15"/>
        <v/>
      </c>
    </row>
    <row r="482" spans="7:17">
      <c r="G482" s="5"/>
      <c r="H482" s="4"/>
      <c r="I482" s="4"/>
      <c r="K482" t="str">
        <f>IF($A482="","",IF($O482&gt;=$G482,"Delivered",IFERROR(LOOKUP(2,1/(WIPLog!$C$2:$C$1000=$A482),WIPLog!$F$2:$F$1000),"Not Started")))</f>
        <v/>
      </c>
      <c r="L482" s="5" t="str">
        <f>IF($A482="","",SUMIFS(WIPLog!$H:$H,WIPLog!$C:$C,$A482))</f>
        <v/>
      </c>
      <c r="M482" s="5" t="str">
        <f>IF($A482="","",SUMIFS(WIPLog!$I:$I,WIPLog!$C:$C,$A482))</f>
        <v/>
      </c>
      <c r="N482" s="5" t="str">
        <f>IF($A482="","",SUMIFS(WIPLog!$K:$K,WIPLog!$C:$C,$A482))</f>
        <v/>
      </c>
      <c r="O482" s="5" t="str">
        <f>IF($A482="","",SUMIFS('Delivery Log'!$E:$E,'Delivery Log'!$B:$B,$A482))</f>
        <v/>
      </c>
      <c r="P482" s="5" t="str">
        <f t="shared" si="14"/>
        <v/>
      </c>
      <c r="Q482" t="str">
        <f t="shared" si="15"/>
        <v/>
      </c>
    </row>
    <row r="483" spans="7:17">
      <c r="G483" s="5"/>
      <c r="H483" s="4"/>
      <c r="I483" s="4"/>
      <c r="K483" t="str">
        <f>IF($A483="","",IF($O483&gt;=$G483,"Delivered",IFERROR(LOOKUP(2,1/(WIPLog!$C$2:$C$1000=$A483),WIPLog!$F$2:$F$1000),"Not Started")))</f>
        <v/>
      </c>
      <c r="L483" s="5" t="str">
        <f>IF($A483="","",SUMIFS(WIPLog!$H:$H,WIPLog!$C:$C,$A483))</f>
        <v/>
      </c>
      <c r="M483" s="5" t="str">
        <f>IF($A483="","",SUMIFS(WIPLog!$I:$I,WIPLog!$C:$C,$A483))</f>
        <v/>
      </c>
      <c r="N483" s="5" t="str">
        <f>IF($A483="","",SUMIFS(WIPLog!$K:$K,WIPLog!$C:$C,$A483))</f>
        <v/>
      </c>
      <c r="O483" s="5" t="str">
        <f>IF($A483="","",SUMIFS('Delivery Log'!$E:$E,'Delivery Log'!$B:$B,$A483))</f>
        <v/>
      </c>
      <c r="P483" s="5" t="str">
        <f t="shared" si="14"/>
        <v/>
      </c>
      <c r="Q483" t="str">
        <f t="shared" si="15"/>
        <v/>
      </c>
    </row>
    <row r="484" spans="7:17">
      <c r="G484" s="5"/>
      <c r="H484" s="4"/>
      <c r="I484" s="4"/>
      <c r="K484" t="str">
        <f>IF($A484="","",IF($O484&gt;=$G484,"Delivered",IFERROR(LOOKUP(2,1/(WIPLog!$C$2:$C$1000=$A484),WIPLog!$F$2:$F$1000),"Not Started")))</f>
        <v/>
      </c>
      <c r="L484" s="5" t="str">
        <f>IF($A484="","",SUMIFS(WIPLog!$H:$H,WIPLog!$C:$C,$A484))</f>
        <v/>
      </c>
      <c r="M484" s="5" t="str">
        <f>IF($A484="","",SUMIFS(WIPLog!$I:$I,WIPLog!$C:$C,$A484))</f>
        <v/>
      </c>
      <c r="N484" s="5" t="str">
        <f>IF($A484="","",SUMIFS(WIPLog!$K:$K,WIPLog!$C:$C,$A484))</f>
        <v/>
      </c>
      <c r="O484" s="5" t="str">
        <f>IF($A484="","",SUMIFS('Delivery Log'!$E:$E,'Delivery Log'!$B:$B,$A484))</f>
        <v/>
      </c>
      <c r="P484" s="5" t="str">
        <f t="shared" si="14"/>
        <v/>
      </c>
      <c r="Q484" t="str">
        <f t="shared" si="15"/>
        <v/>
      </c>
    </row>
    <row r="485" spans="7:17">
      <c r="G485" s="5"/>
      <c r="H485" s="4"/>
      <c r="I485" s="4"/>
      <c r="K485" t="str">
        <f>IF($A485="","",IF($O485&gt;=$G485,"Delivered",IFERROR(LOOKUP(2,1/(WIPLog!$C$2:$C$1000=$A485),WIPLog!$F$2:$F$1000),"Not Started")))</f>
        <v/>
      </c>
      <c r="L485" s="5" t="str">
        <f>IF($A485="","",SUMIFS(WIPLog!$H:$H,WIPLog!$C:$C,$A485))</f>
        <v/>
      </c>
      <c r="M485" s="5" t="str">
        <f>IF($A485="","",SUMIFS(WIPLog!$I:$I,WIPLog!$C:$C,$A485))</f>
        <v/>
      </c>
      <c r="N485" s="5" t="str">
        <f>IF($A485="","",SUMIFS(WIPLog!$K:$K,WIPLog!$C:$C,$A485))</f>
        <v/>
      </c>
      <c r="O485" s="5" t="str">
        <f>IF($A485="","",SUMIFS('Delivery Log'!$E:$E,'Delivery Log'!$B:$B,$A485))</f>
        <v/>
      </c>
      <c r="P485" s="5" t="str">
        <f t="shared" si="14"/>
        <v/>
      </c>
      <c r="Q485" t="str">
        <f t="shared" si="15"/>
        <v/>
      </c>
    </row>
    <row r="486" spans="7:17">
      <c r="G486" s="5"/>
      <c r="H486" s="4"/>
      <c r="I486" s="4"/>
      <c r="K486" t="str">
        <f>IF($A486="","",IF($O486&gt;=$G486,"Delivered",IFERROR(LOOKUP(2,1/(WIPLog!$C$2:$C$1000=$A486),WIPLog!$F$2:$F$1000),"Not Started")))</f>
        <v/>
      </c>
      <c r="L486" s="5" t="str">
        <f>IF($A486="","",SUMIFS(WIPLog!$H:$H,WIPLog!$C:$C,$A486))</f>
        <v/>
      </c>
      <c r="M486" s="5" t="str">
        <f>IF($A486="","",SUMIFS(WIPLog!$I:$I,WIPLog!$C:$C,$A486))</f>
        <v/>
      </c>
      <c r="N486" s="5" t="str">
        <f>IF($A486="","",SUMIFS(WIPLog!$K:$K,WIPLog!$C:$C,$A486))</f>
        <v/>
      </c>
      <c r="O486" s="5" t="str">
        <f>IF($A486="","",SUMIFS('Delivery Log'!$E:$E,'Delivery Log'!$B:$B,$A486))</f>
        <v/>
      </c>
      <c r="P486" s="5" t="str">
        <f t="shared" si="14"/>
        <v/>
      </c>
      <c r="Q486" t="str">
        <f t="shared" si="15"/>
        <v/>
      </c>
    </row>
    <row r="487" spans="7:17">
      <c r="G487" s="5"/>
      <c r="H487" s="4"/>
      <c r="I487" s="4"/>
      <c r="K487" t="str">
        <f>IF($A487="","",IF($O487&gt;=$G487,"Delivered",IFERROR(LOOKUP(2,1/(WIPLog!$C$2:$C$1000=$A487),WIPLog!$F$2:$F$1000),"Not Started")))</f>
        <v/>
      </c>
      <c r="L487" s="5" t="str">
        <f>IF($A487="","",SUMIFS(WIPLog!$H:$H,WIPLog!$C:$C,$A487))</f>
        <v/>
      </c>
      <c r="M487" s="5" t="str">
        <f>IF($A487="","",SUMIFS(WIPLog!$I:$I,WIPLog!$C:$C,$A487))</f>
        <v/>
      </c>
      <c r="N487" s="5" t="str">
        <f>IF($A487="","",SUMIFS(WIPLog!$K:$K,WIPLog!$C:$C,$A487))</f>
        <v/>
      </c>
      <c r="O487" s="5" t="str">
        <f>IF($A487="","",SUMIFS('Delivery Log'!$E:$E,'Delivery Log'!$B:$B,$A487))</f>
        <v/>
      </c>
      <c r="P487" s="5" t="str">
        <f t="shared" si="14"/>
        <v/>
      </c>
      <c r="Q487" t="str">
        <f t="shared" si="15"/>
        <v/>
      </c>
    </row>
    <row r="488" spans="7:17">
      <c r="G488" s="5"/>
      <c r="H488" s="4"/>
      <c r="I488" s="4"/>
      <c r="K488" t="str">
        <f>IF($A488="","",IF($O488&gt;=$G488,"Delivered",IFERROR(LOOKUP(2,1/(WIPLog!$C$2:$C$1000=$A488),WIPLog!$F$2:$F$1000),"Not Started")))</f>
        <v/>
      </c>
      <c r="L488" s="5" t="str">
        <f>IF($A488="","",SUMIFS(WIPLog!$H:$H,WIPLog!$C:$C,$A488))</f>
        <v/>
      </c>
      <c r="M488" s="5" t="str">
        <f>IF($A488="","",SUMIFS(WIPLog!$I:$I,WIPLog!$C:$C,$A488))</f>
        <v/>
      </c>
      <c r="N488" s="5" t="str">
        <f>IF($A488="","",SUMIFS(WIPLog!$K:$K,WIPLog!$C:$C,$A488))</f>
        <v/>
      </c>
      <c r="O488" s="5" t="str">
        <f>IF($A488="","",SUMIFS('Delivery Log'!$E:$E,'Delivery Log'!$B:$B,$A488))</f>
        <v/>
      </c>
      <c r="P488" s="5" t="str">
        <f t="shared" si="14"/>
        <v/>
      </c>
      <c r="Q488" t="str">
        <f t="shared" si="15"/>
        <v/>
      </c>
    </row>
    <row r="489" spans="7:17">
      <c r="G489" s="5"/>
      <c r="H489" s="4"/>
      <c r="I489" s="4"/>
      <c r="K489" t="str">
        <f>IF($A489="","",IF($O489&gt;=$G489,"Delivered",IFERROR(LOOKUP(2,1/(WIPLog!$C$2:$C$1000=$A489),WIPLog!$F$2:$F$1000),"Not Started")))</f>
        <v/>
      </c>
      <c r="L489" s="5" t="str">
        <f>IF($A489="","",SUMIFS(WIPLog!$H:$H,WIPLog!$C:$C,$A489))</f>
        <v/>
      </c>
      <c r="M489" s="5" t="str">
        <f>IF($A489="","",SUMIFS(WIPLog!$I:$I,WIPLog!$C:$C,$A489))</f>
        <v/>
      </c>
      <c r="N489" s="5" t="str">
        <f>IF($A489="","",SUMIFS(WIPLog!$K:$K,WIPLog!$C:$C,$A489))</f>
        <v/>
      </c>
      <c r="O489" s="5" t="str">
        <f>IF($A489="","",SUMIFS('Delivery Log'!$E:$E,'Delivery Log'!$B:$B,$A489))</f>
        <v/>
      </c>
      <c r="P489" s="5" t="str">
        <f t="shared" si="14"/>
        <v/>
      </c>
      <c r="Q489" t="str">
        <f t="shared" si="15"/>
        <v/>
      </c>
    </row>
    <row r="490" spans="7:17">
      <c r="G490" s="5"/>
      <c r="H490" s="4"/>
      <c r="I490" s="4"/>
      <c r="K490" t="str">
        <f>IF($A490="","",IF($O490&gt;=$G490,"Delivered",IFERROR(LOOKUP(2,1/(WIPLog!$C$2:$C$1000=$A490),WIPLog!$F$2:$F$1000),"Not Started")))</f>
        <v/>
      </c>
      <c r="L490" s="5" t="str">
        <f>IF($A490="","",SUMIFS(WIPLog!$H:$H,WIPLog!$C:$C,$A490))</f>
        <v/>
      </c>
      <c r="M490" s="5" t="str">
        <f>IF($A490="","",SUMIFS(WIPLog!$I:$I,WIPLog!$C:$C,$A490))</f>
        <v/>
      </c>
      <c r="N490" s="5" t="str">
        <f>IF($A490="","",SUMIFS(WIPLog!$K:$K,WIPLog!$C:$C,$A490))</f>
        <v/>
      </c>
      <c r="O490" s="5" t="str">
        <f>IF($A490="","",SUMIFS('Delivery Log'!$E:$E,'Delivery Log'!$B:$B,$A490))</f>
        <v/>
      </c>
      <c r="P490" s="5" t="str">
        <f t="shared" si="14"/>
        <v/>
      </c>
      <c r="Q490" t="str">
        <f t="shared" si="15"/>
        <v/>
      </c>
    </row>
    <row r="491" spans="7:17">
      <c r="G491" s="5"/>
      <c r="H491" s="4"/>
      <c r="I491" s="4"/>
      <c r="K491" t="str">
        <f>IF($A491="","",IF($O491&gt;=$G491,"Delivered",IFERROR(LOOKUP(2,1/(WIPLog!$C$2:$C$1000=$A491),WIPLog!$F$2:$F$1000),"Not Started")))</f>
        <v/>
      </c>
      <c r="L491" s="5" t="str">
        <f>IF($A491="","",SUMIFS(WIPLog!$H:$H,WIPLog!$C:$C,$A491))</f>
        <v/>
      </c>
      <c r="M491" s="5" t="str">
        <f>IF($A491="","",SUMIFS(WIPLog!$I:$I,WIPLog!$C:$C,$A491))</f>
        <v/>
      </c>
      <c r="N491" s="5" t="str">
        <f>IF($A491="","",SUMIFS(WIPLog!$K:$K,WIPLog!$C:$C,$A491))</f>
        <v/>
      </c>
      <c r="O491" s="5" t="str">
        <f>IF($A491="","",SUMIFS('Delivery Log'!$E:$E,'Delivery Log'!$B:$B,$A491))</f>
        <v/>
      </c>
      <c r="P491" s="5" t="str">
        <f t="shared" si="14"/>
        <v/>
      </c>
      <c r="Q491" t="str">
        <f t="shared" si="15"/>
        <v/>
      </c>
    </row>
    <row r="492" spans="7:17">
      <c r="G492" s="5"/>
      <c r="H492" s="4"/>
      <c r="I492" s="4"/>
      <c r="K492" t="str">
        <f>IF($A492="","",IF($O492&gt;=$G492,"Delivered",IFERROR(LOOKUP(2,1/(WIPLog!$C$2:$C$1000=$A492),WIPLog!$F$2:$F$1000),"Not Started")))</f>
        <v/>
      </c>
      <c r="L492" s="5" t="str">
        <f>IF($A492="","",SUMIFS(WIPLog!$H:$H,WIPLog!$C:$C,$A492))</f>
        <v/>
      </c>
      <c r="M492" s="5" t="str">
        <f>IF($A492="","",SUMIFS(WIPLog!$I:$I,WIPLog!$C:$C,$A492))</f>
        <v/>
      </c>
      <c r="N492" s="5" t="str">
        <f>IF($A492="","",SUMIFS(WIPLog!$K:$K,WIPLog!$C:$C,$A492))</f>
        <v/>
      </c>
      <c r="O492" s="5" t="str">
        <f>IF($A492="","",SUMIFS('Delivery Log'!$E:$E,'Delivery Log'!$B:$B,$A492))</f>
        <v/>
      </c>
      <c r="P492" s="5" t="str">
        <f t="shared" si="14"/>
        <v/>
      </c>
      <c r="Q492" t="str">
        <f t="shared" si="15"/>
        <v/>
      </c>
    </row>
    <row r="493" spans="7:17">
      <c r="G493" s="5"/>
      <c r="H493" s="4"/>
      <c r="I493" s="4"/>
      <c r="K493" t="str">
        <f>IF($A493="","",IF($O493&gt;=$G493,"Delivered",IFERROR(LOOKUP(2,1/(WIPLog!$C$2:$C$1000=$A493),WIPLog!$F$2:$F$1000),"Not Started")))</f>
        <v/>
      </c>
      <c r="L493" s="5" t="str">
        <f>IF($A493="","",SUMIFS(WIPLog!$H:$H,WIPLog!$C:$C,$A493))</f>
        <v/>
      </c>
      <c r="M493" s="5" t="str">
        <f>IF($A493="","",SUMIFS(WIPLog!$I:$I,WIPLog!$C:$C,$A493))</f>
        <v/>
      </c>
      <c r="N493" s="5" t="str">
        <f>IF($A493="","",SUMIFS(WIPLog!$K:$K,WIPLog!$C:$C,$A493))</f>
        <v/>
      </c>
      <c r="O493" s="5" t="str">
        <f>IF($A493="","",SUMIFS('Delivery Log'!$E:$E,'Delivery Log'!$B:$B,$A493))</f>
        <v/>
      </c>
      <c r="P493" s="5" t="str">
        <f t="shared" si="14"/>
        <v/>
      </c>
      <c r="Q493" t="str">
        <f t="shared" si="15"/>
        <v/>
      </c>
    </row>
    <row r="494" spans="7:17">
      <c r="G494" s="5"/>
      <c r="H494" s="4"/>
      <c r="I494" s="4"/>
      <c r="K494" t="str">
        <f>IF($A494="","",IF($O494&gt;=$G494,"Delivered",IFERROR(LOOKUP(2,1/(WIPLog!$C$2:$C$1000=$A494),WIPLog!$F$2:$F$1000),"Not Started")))</f>
        <v/>
      </c>
      <c r="L494" s="5" t="str">
        <f>IF($A494="","",SUMIFS(WIPLog!$H:$H,WIPLog!$C:$C,$A494))</f>
        <v/>
      </c>
      <c r="M494" s="5" t="str">
        <f>IF($A494="","",SUMIFS(WIPLog!$I:$I,WIPLog!$C:$C,$A494))</f>
        <v/>
      </c>
      <c r="N494" s="5" t="str">
        <f>IF($A494="","",SUMIFS(WIPLog!$K:$K,WIPLog!$C:$C,$A494))</f>
        <v/>
      </c>
      <c r="O494" s="5" t="str">
        <f>IF($A494="","",SUMIFS('Delivery Log'!$E:$E,'Delivery Log'!$B:$B,$A494))</f>
        <v/>
      </c>
      <c r="P494" s="5" t="str">
        <f t="shared" si="14"/>
        <v/>
      </c>
      <c r="Q494" t="str">
        <f t="shared" si="15"/>
        <v/>
      </c>
    </row>
    <row r="495" spans="7:17">
      <c r="G495" s="5"/>
      <c r="H495" s="4"/>
      <c r="I495" s="4"/>
      <c r="K495" t="str">
        <f>IF($A495="","",IF($O495&gt;=$G495,"Delivered",IFERROR(LOOKUP(2,1/(WIPLog!$C$2:$C$1000=$A495),WIPLog!$F$2:$F$1000),"Not Started")))</f>
        <v/>
      </c>
      <c r="L495" s="5" t="str">
        <f>IF($A495="","",SUMIFS(WIPLog!$H:$H,WIPLog!$C:$C,$A495))</f>
        <v/>
      </c>
      <c r="M495" s="5" t="str">
        <f>IF($A495="","",SUMIFS(WIPLog!$I:$I,WIPLog!$C:$C,$A495))</f>
        <v/>
      </c>
      <c r="N495" s="5" t="str">
        <f>IF($A495="","",SUMIFS(WIPLog!$K:$K,WIPLog!$C:$C,$A495))</f>
        <v/>
      </c>
      <c r="O495" s="5" t="str">
        <f>IF($A495="","",SUMIFS('Delivery Log'!$E:$E,'Delivery Log'!$B:$B,$A495))</f>
        <v/>
      </c>
      <c r="P495" s="5" t="str">
        <f t="shared" si="14"/>
        <v/>
      </c>
      <c r="Q495" t="str">
        <f t="shared" si="15"/>
        <v/>
      </c>
    </row>
    <row r="496" spans="7:17">
      <c r="G496" s="5"/>
      <c r="H496" s="4"/>
      <c r="I496" s="4"/>
      <c r="K496" t="str">
        <f>IF($A496="","",IF($O496&gt;=$G496,"Delivered",IFERROR(LOOKUP(2,1/(WIPLog!$C$2:$C$1000=$A496),WIPLog!$F$2:$F$1000),"Not Started")))</f>
        <v/>
      </c>
      <c r="L496" s="5" t="str">
        <f>IF($A496="","",SUMIFS(WIPLog!$H:$H,WIPLog!$C:$C,$A496))</f>
        <v/>
      </c>
      <c r="M496" s="5" t="str">
        <f>IF($A496="","",SUMIFS(WIPLog!$I:$I,WIPLog!$C:$C,$A496))</f>
        <v/>
      </c>
      <c r="N496" s="5" t="str">
        <f>IF($A496="","",SUMIFS(WIPLog!$K:$K,WIPLog!$C:$C,$A496))</f>
        <v/>
      </c>
      <c r="O496" s="5" t="str">
        <f>IF($A496="","",SUMIFS('Delivery Log'!$E:$E,'Delivery Log'!$B:$B,$A496))</f>
        <v/>
      </c>
      <c r="P496" s="5" t="str">
        <f t="shared" si="14"/>
        <v/>
      </c>
      <c r="Q496" t="str">
        <f t="shared" si="15"/>
        <v/>
      </c>
    </row>
    <row r="497" spans="7:17">
      <c r="G497" s="5"/>
      <c r="H497" s="4"/>
      <c r="I497" s="4"/>
      <c r="K497" t="str">
        <f>IF($A497="","",IF($O497&gt;=$G497,"Delivered",IFERROR(LOOKUP(2,1/(WIPLog!$C$2:$C$1000=$A497),WIPLog!$F$2:$F$1000),"Not Started")))</f>
        <v/>
      </c>
      <c r="L497" s="5" t="str">
        <f>IF($A497="","",SUMIFS(WIPLog!$H:$H,WIPLog!$C:$C,$A497))</f>
        <v/>
      </c>
      <c r="M497" s="5" t="str">
        <f>IF($A497="","",SUMIFS(WIPLog!$I:$I,WIPLog!$C:$C,$A497))</f>
        <v/>
      </c>
      <c r="N497" s="5" t="str">
        <f>IF($A497="","",SUMIFS(WIPLog!$K:$K,WIPLog!$C:$C,$A497))</f>
        <v/>
      </c>
      <c r="O497" s="5" t="str">
        <f>IF($A497="","",SUMIFS('Delivery Log'!$E:$E,'Delivery Log'!$B:$B,$A497))</f>
        <v/>
      </c>
      <c r="P497" s="5" t="str">
        <f t="shared" si="14"/>
        <v/>
      </c>
      <c r="Q497" t="str">
        <f t="shared" si="15"/>
        <v/>
      </c>
    </row>
    <row r="498" spans="7:17">
      <c r="G498" s="5"/>
      <c r="H498" s="4"/>
      <c r="I498" s="4"/>
      <c r="K498" t="str">
        <f>IF($A498="","",IF($O498&gt;=$G498,"Delivered",IFERROR(LOOKUP(2,1/(WIPLog!$C$2:$C$1000=$A498),WIPLog!$F$2:$F$1000),"Not Started")))</f>
        <v/>
      </c>
      <c r="L498" s="5" t="str">
        <f>IF($A498="","",SUMIFS(WIPLog!$H:$H,WIPLog!$C:$C,$A498))</f>
        <v/>
      </c>
      <c r="M498" s="5" t="str">
        <f>IF($A498="","",SUMIFS(WIPLog!$I:$I,WIPLog!$C:$C,$A498))</f>
        <v/>
      </c>
      <c r="N498" s="5" t="str">
        <f>IF($A498="","",SUMIFS(WIPLog!$K:$K,WIPLog!$C:$C,$A498))</f>
        <v/>
      </c>
      <c r="O498" s="5" t="str">
        <f>IF($A498="","",SUMIFS('Delivery Log'!$E:$E,'Delivery Log'!$B:$B,$A498))</f>
        <v/>
      </c>
      <c r="P498" s="5" t="str">
        <f t="shared" si="14"/>
        <v/>
      </c>
      <c r="Q498" t="str">
        <f t="shared" si="15"/>
        <v/>
      </c>
    </row>
    <row r="499" spans="7:17">
      <c r="G499" s="5"/>
      <c r="H499" s="4"/>
      <c r="I499" s="4"/>
      <c r="K499" t="str">
        <f>IF($A499="","",IF($O499&gt;=$G499,"Delivered",IFERROR(LOOKUP(2,1/(WIPLog!$C$2:$C$1000=$A499),WIPLog!$F$2:$F$1000),"Not Started")))</f>
        <v/>
      </c>
      <c r="L499" s="5" t="str">
        <f>IF($A499="","",SUMIFS(WIPLog!$H:$H,WIPLog!$C:$C,$A499))</f>
        <v/>
      </c>
      <c r="M499" s="5" t="str">
        <f>IF($A499="","",SUMIFS(WIPLog!$I:$I,WIPLog!$C:$C,$A499))</f>
        <v/>
      </c>
      <c r="N499" s="5" t="str">
        <f>IF($A499="","",SUMIFS(WIPLog!$K:$K,WIPLog!$C:$C,$A499))</f>
        <v/>
      </c>
      <c r="O499" s="5" t="str">
        <f>IF($A499="","",SUMIFS('Delivery Log'!$E:$E,'Delivery Log'!$B:$B,$A499))</f>
        <v/>
      </c>
      <c r="P499" s="5" t="str">
        <f t="shared" si="14"/>
        <v/>
      </c>
      <c r="Q499" t="str">
        <f t="shared" si="15"/>
        <v/>
      </c>
    </row>
    <row r="500" spans="7:17">
      <c r="G500" s="5"/>
      <c r="H500" s="4"/>
      <c r="I500" s="4"/>
      <c r="K500" t="str">
        <f>IF($A500="","",IF($O500&gt;=$G500,"Delivered",IFERROR(LOOKUP(2,1/(WIPLog!$C$2:$C$1000=$A500),WIPLog!$F$2:$F$1000),"Not Started")))</f>
        <v/>
      </c>
      <c r="L500" s="5" t="str">
        <f>IF($A500="","",SUMIFS(WIPLog!$H:$H,WIPLog!$C:$C,$A500))</f>
        <v/>
      </c>
      <c r="M500" s="5" t="str">
        <f>IF($A500="","",SUMIFS(WIPLog!$I:$I,WIPLog!$C:$C,$A500))</f>
        <v/>
      </c>
      <c r="N500" s="5" t="str">
        <f>IF($A500="","",SUMIFS(WIPLog!$K:$K,WIPLog!$C:$C,$A500))</f>
        <v/>
      </c>
      <c r="O500" s="5" t="str">
        <f>IF($A500="","",SUMIFS('Delivery Log'!$E:$E,'Delivery Log'!$B:$B,$A500))</f>
        <v/>
      </c>
      <c r="P500" s="5" t="str">
        <f t="shared" si="14"/>
        <v/>
      </c>
      <c r="Q500" t="str">
        <f t="shared" si="15"/>
        <v/>
      </c>
    </row>
  </sheetData>
  <conditionalFormatting sqref="Q2:Q500">
    <cfRule type="expression" dxfId="8" priority="1">
      <formula>Q2="Delivered"</formula>
    </cfRule>
    <cfRule type="expression" dxfId="7" priority="2">
      <formula>Q2="Partial"</formula>
    </cfRule>
    <cfRule type="expression" dxfId="6" priority="3">
      <formula>Q2="Open"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Lists!$D$2:$D$8</xm:f>
          </x14:formula1>
          <xm:sqref>J2:J500</xm:sqref>
        </x14:dataValidation>
        <x14:dataValidation type="list" xr:uid="{00000000-0002-0000-0100-000001000000}">
          <x14:formula1>
            <xm:f>Lists!$F$2:$F$7</xm:f>
          </x14:formula1>
          <xm:sqref>Q2:Q500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/>
  </sheetViews>
  <sheetFormatPr defaultColWidth="8.875" defaultRowHeight="14.1"/>
  <cols>
    <col min="1" max="1" width="13" customWidth="1"/>
    <col min="2" max="2" width="15" customWidth="1"/>
    <col min="3" max="3" width="16" customWidth="1"/>
    <col min="4" max="4" width="20" customWidth="1"/>
    <col min="5" max="5" width="16" customWidth="1"/>
    <col min="6" max="6" width="32" customWidth="1"/>
    <col min="7" max="7" width="15" customWidth="1"/>
    <col min="8" max="9" width="10" customWidth="1"/>
    <col min="10" max="11" width="12" customWidth="1"/>
    <col min="12" max="12" width="14" customWidth="1"/>
    <col min="13" max="15" width="16" customWidth="1"/>
    <col min="16" max="16" width="28" customWidth="1"/>
    <col min="17" max="17" width="16" customWidth="1"/>
  </cols>
  <sheetData>
    <row r="1" spans="1:17" ht="37.35" customHeight="1">
      <c r="A1" s="1" t="s">
        <v>68</v>
      </c>
      <c r="B1" s="1" t="s">
        <v>69</v>
      </c>
      <c r="C1" s="1" t="s">
        <v>53</v>
      </c>
      <c r="D1" s="1" t="s">
        <v>54</v>
      </c>
      <c r="E1" s="1" t="s">
        <v>56</v>
      </c>
      <c r="F1" s="1" t="s">
        <v>13</v>
      </c>
      <c r="G1" s="1" t="s">
        <v>70</v>
      </c>
      <c r="H1" s="1" t="s">
        <v>71</v>
      </c>
      <c r="I1" s="1" t="s">
        <v>72</v>
      </c>
      <c r="J1" s="1" t="s">
        <v>7</v>
      </c>
      <c r="K1" s="1" t="s">
        <v>8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</row>
    <row r="2" spans="1:17">
      <c r="A2" s="4"/>
      <c r="D2" t="str">
        <f>IF($C2="","",IFERROR(INDEX(Orders!$B:$B,MATCH($C2,Orders!$A:$A,0)),""))</f>
        <v/>
      </c>
      <c r="E2" t="str">
        <f>IF($C2="","",IFERROR(INDEX(Orders!$D:$D,MATCH($C2,Orders!$A:$A,0)),""))</f>
        <v/>
      </c>
      <c r="H2" s="5"/>
      <c r="I2" s="5"/>
      <c r="J2" s="5"/>
      <c r="K2" s="5"/>
      <c r="L2" s="5" t="str">
        <f t="shared" ref="L2:L65" si="0">IF($C2="","",$H2-$I2-$K2)</f>
        <v/>
      </c>
    </row>
    <row r="3" spans="1:17">
      <c r="A3" s="4"/>
      <c r="D3" t="str">
        <f>IF($C3="","",IFERROR(INDEX(Orders!$B:$B,MATCH($C3,Orders!$A:$A,0)),""))</f>
        <v/>
      </c>
      <c r="E3" t="str">
        <f>IF($C3="","",IFERROR(INDEX(Orders!$D:$D,MATCH($C3,Orders!$A:$A,0)),""))</f>
        <v/>
      </c>
      <c r="H3" s="5"/>
      <c r="I3" s="5"/>
      <c r="J3" s="5"/>
      <c r="K3" s="5"/>
      <c r="L3" s="5" t="str">
        <f t="shared" si="0"/>
        <v/>
      </c>
    </row>
    <row r="4" spans="1:17">
      <c r="A4" s="4"/>
      <c r="D4" t="str">
        <f>IF($C4="","",IFERROR(INDEX(Orders!$B:$B,MATCH($C4,Orders!$A:$A,0)),""))</f>
        <v/>
      </c>
      <c r="E4" t="str">
        <f>IF($C4="","",IFERROR(INDEX(Orders!$D:$D,MATCH($C4,Orders!$A:$A,0)),""))</f>
        <v/>
      </c>
      <c r="H4" s="5"/>
      <c r="I4" s="5"/>
      <c r="J4" s="5"/>
      <c r="K4" s="5"/>
      <c r="L4" s="5" t="str">
        <f t="shared" si="0"/>
        <v/>
      </c>
    </row>
    <row r="5" spans="1:17">
      <c r="A5" s="4"/>
      <c r="D5" t="str">
        <f>IF($C5="","",IFERROR(INDEX(Orders!$B:$B,MATCH($C5,Orders!$A:$A,0)),""))</f>
        <v/>
      </c>
      <c r="E5" t="str">
        <f>IF($C5="","",IFERROR(INDEX(Orders!$D:$D,MATCH($C5,Orders!$A:$A,0)),""))</f>
        <v/>
      </c>
      <c r="H5" s="5"/>
      <c r="I5" s="5"/>
      <c r="J5" s="5"/>
      <c r="K5" s="5"/>
      <c r="L5" s="5" t="str">
        <f t="shared" si="0"/>
        <v/>
      </c>
    </row>
    <row r="6" spans="1:17">
      <c r="A6" s="4"/>
      <c r="D6" t="str">
        <f>IF($C6="","",IFERROR(INDEX(Orders!$B:$B,MATCH($C6,Orders!$A:$A,0)),""))</f>
        <v/>
      </c>
      <c r="E6" t="str">
        <f>IF($C6="","",IFERROR(INDEX(Orders!$D:$D,MATCH($C6,Orders!$A:$A,0)),""))</f>
        <v/>
      </c>
      <c r="H6" s="5"/>
      <c r="I6" s="5"/>
      <c r="J6" s="5"/>
      <c r="K6" s="5"/>
      <c r="L6" s="5" t="str">
        <f t="shared" si="0"/>
        <v/>
      </c>
    </row>
    <row r="7" spans="1:17">
      <c r="A7" s="4"/>
      <c r="D7" t="str">
        <f>IF($C7="","",IFERROR(INDEX(Orders!$B:$B,MATCH($C7,Orders!$A:$A,0)),""))</f>
        <v/>
      </c>
      <c r="E7" t="str">
        <f>IF($C7="","",IFERROR(INDEX(Orders!$D:$D,MATCH($C7,Orders!$A:$A,0)),""))</f>
        <v/>
      </c>
      <c r="H7" s="5"/>
      <c r="I7" s="5"/>
      <c r="J7" s="5"/>
      <c r="K7" s="5"/>
      <c r="L7" s="5" t="str">
        <f t="shared" si="0"/>
        <v/>
      </c>
    </row>
    <row r="8" spans="1:17">
      <c r="A8" s="4"/>
      <c r="D8" t="str">
        <f>IF($C8="","",IFERROR(INDEX(Orders!$B:$B,MATCH($C8,Orders!$A:$A,0)),""))</f>
        <v/>
      </c>
      <c r="E8" t="str">
        <f>IF($C8="","",IFERROR(INDEX(Orders!$D:$D,MATCH($C8,Orders!$A:$A,0)),""))</f>
        <v/>
      </c>
      <c r="H8" s="5"/>
      <c r="I8" s="5"/>
      <c r="J8" s="5"/>
      <c r="K8" s="5"/>
      <c r="L8" s="5" t="str">
        <f t="shared" si="0"/>
        <v/>
      </c>
    </row>
    <row r="9" spans="1:17">
      <c r="A9" s="4"/>
      <c r="D9" t="str">
        <f>IF($C9="","",IFERROR(INDEX(Orders!$B:$B,MATCH($C9,Orders!$A:$A,0)),""))</f>
        <v/>
      </c>
      <c r="E9" t="str">
        <f>IF($C9="","",IFERROR(INDEX(Orders!$D:$D,MATCH($C9,Orders!$A:$A,0)),""))</f>
        <v/>
      </c>
      <c r="H9" s="5"/>
      <c r="I9" s="5"/>
      <c r="J9" s="5"/>
      <c r="K9" s="5"/>
      <c r="L9" s="5" t="str">
        <f t="shared" si="0"/>
        <v/>
      </c>
    </row>
    <row r="10" spans="1:17">
      <c r="A10" s="4"/>
      <c r="D10" t="str">
        <f>IF($C10="","",IFERROR(INDEX(Orders!$B:$B,MATCH($C10,Orders!$A:$A,0)),""))</f>
        <v/>
      </c>
      <c r="E10" t="str">
        <f>IF($C10="","",IFERROR(INDEX(Orders!$D:$D,MATCH($C10,Orders!$A:$A,0)),""))</f>
        <v/>
      </c>
      <c r="H10" s="5"/>
      <c r="I10" s="5"/>
      <c r="J10" s="5"/>
      <c r="K10" s="5"/>
      <c r="L10" s="5" t="str">
        <f t="shared" si="0"/>
        <v/>
      </c>
    </row>
    <row r="11" spans="1:17">
      <c r="A11" s="4"/>
      <c r="D11" t="str">
        <f>IF($C11="","",IFERROR(INDEX(Orders!$B:$B,MATCH($C11,Orders!$A:$A,0)),""))</f>
        <v/>
      </c>
      <c r="E11" t="str">
        <f>IF($C11="","",IFERROR(INDEX(Orders!$D:$D,MATCH($C11,Orders!$A:$A,0)),""))</f>
        <v/>
      </c>
      <c r="H11" s="5"/>
      <c r="I11" s="5"/>
      <c r="J11" s="5"/>
      <c r="K11" s="5"/>
      <c r="L11" s="5" t="str">
        <f t="shared" si="0"/>
        <v/>
      </c>
    </row>
    <row r="12" spans="1:17">
      <c r="A12" s="4"/>
      <c r="D12" t="str">
        <f>IF($C12="","",IFERROR(INDEX(Orders!$B:$B,MATCH($C12,Orders!$A:$A,0)),""))</f>
        <v/>
      </c>
      <c r="E12" t="str">
        <f>IF($C12="","",IFERROR(INDEX(Orders!$D:$D,MATCH($C12,Orders!$A:$A,0)),""))</f>
        <v/>
      </c>
      <c r="H12" s="5"/>
      <c r="I12" s="5"/>
      <c r="J12" s="5"/>
      <c r="K12" s="5"/>
      <c r="L12" s="5" t="str">
        <f t="shared" si="0"/>
        <v/>
      </c>
    </row>
    <row r="13" spans="1:17">
      <c r="A13" s="4"/>
      <c r="D13" t="str">
        <f>IF($C13="","",IFERROR(INDEX(Orders!$B:$B,MATCH($C13,Orders!$A:$A,0)),""))</f>
        <v/>
      </c>
      <c r="E13" t="str">
        <f>IF($C13="","",IFERROR(INDEX(Orders!$D:$D,MATCH($C13,Orders!$A:$A,0)),""))</f>
        <v/>
      </c>
      <c r="H13" s="5"/>
      <c r="I13" s="5"/>
      <c r="J13" s="5"/>
      <c r="K13" s="5"/>
      <c r="L13" s="5" t="str">
        <f t="shared" si="0"/>
        <v/>
      </c>
    </row>
    <row r="14" spans="1:17">
      <c r="A14" s="4"/>
      <c r="D14" t="str">
        <f>IF($C14="","",IFERROR(INDEX(Orders!$B:$B,MATCH($C14,Orders!$A:$A,0)),""))</f>
        <v/>
      </c>
      <c r="E14" t="str">
        <f>IF($C14="","",IFERROR(INDEX(Orders!$D:$D,MATCH($C14,Orders!$A:$A,0)),""))</f>
        <v/>
      </c>
      <c r="H14" s="5"/>
      <c r="I14" s="5"/>
      <c r="J14" s="5"/>
      <c r="K14" s="5"/>
      <c r="L14" s="5" t="str">
        <f t="shared" si="0"/>
        <v/>
      </c>
    </row>
    <row r="15" spans="1:17">
      <c r="A15" s="4"/>
      <c r="D15" t="str">
        <f>IF($C15="","",IFERROR(INDEX(Orders!$B:$B,MATCH($C15,Orders!$A:$A,0)),""))</f>
        <v/>
      </c>
      <c r="E15" t="str">
        <f>IF($C15="","",IFERROR(INDEX(Orders!$D:$D,MATCH($C15,Orders!$A:$A,0)),""))</f>
        <v/>
      </c>
      <c r="H15" s="5"/>
      <c r="I15" s="5"/>
      <c r="J15" s="5"/>
      <c r="K15" s="5"/>
      <c r="L15" s="5" t="str">
        <f t="shared" si="0"/>
        <v/>
      </c>
    </row>
    <row r="16" spans="1:17">
      <c r="A16" s="4"/>
      <c r="D16" t="str">
        <f>IF($C16="","",IFERROR(INDEX(Orders!$B:$B,MATCH($C16,Orders!$A:$A,0)),""))</f>
        <v/>
      </c>
      <c r="E16" t="str">
        <f>IF($C16="","",IFERROR(INDEX(Orders!$D:$D,MATCH($C16,Orders!$A:$A,0)),""))</f>
        <v/>
      </c>
      <c r="H16" s="5"/>
      <c r="I16" s="5"/>
      <c r="J16" s="5"/>
      <c r="K16" s="5"/>
      <c r="L16" s="5" t="str">
        <f t="shared" si="0"/>
        <v/>
      </c>
    </row>
    <row r="17" spans="1:12">
      <c r="A17" s="4"/>
      <c r="D17" t="str">
        <f>IF($C17="","",IFERROR(INDEX(Orders!$B:$B,MATCH($C17,Orders!$A:$A,0)),""))</f>
        <v/>
      </c>
      <c r="E17" t="str">
        <f>IF($C17="","",IFERROR(INDEX(Orders!$D:$D,MATCH($C17,Orders!$A:$A,0)),""))</f>
        <v/>
      </c>
      <c r="H17" s="5"/>
      <c r="I17" s="5"/>
      <c r="J17" s="5"/>
      <c r="K17" s="5"/>
      <c r="L17" s="5" t="str">
        <f t="shared" si="0"/>
        <v/>
      </c>
    </row>
    <row r="18" spans="1:12">
      <c r="A18" s="4"/>
      <c r="D18" t="str">
        <f>IF($C18="","",IFERROR(INDEX(Orders!$B:$B,MATCH($C18,Orders!$A:$A,0)),""))</f>
        <v/>
      </c>
      <c r="E18" t="str">
        <f>IF($C18="","",IFERROR(INDEX(Orders!$D:$D,MATCH($C18,Orders!$A:$A,0)),""))</f>
        <v/>
      </c>
      <c r="H18" s="5"/>
      <c r="I18" s="5"/>
      <c r="J18" s="5"/>
      <c r="K18" s="5"/>
      <c r="L18" s="5" t="str">
        <f t="shared" si="0"/>
        <v/>
      </c>
    </row>
    <row r="19" spans="1:12">
      <c r="A19" s="4"/>
      <c r="D19" t="str">
        <f>IF($C19="","",IFERROR(INDEX(Orders!$B:$B,MATCH($C19,Orders!$A:$A,0)),""))</f>
        <v/>
      </c>
      <c r="E19" t="str">
        <f>IF($C19="","",IFERROR(INDEX(Orders!$D:$D,MATCH($C19,Orders!$A:$A,0)),""))</f>
        <v/>
      </c>
      <c r="H19" s="5"/>
      <c r="I19" s="5"/>
      <c r="J19" s="5"/>
      <c r="K19" s="5"/>
      <c r="L19" s="5" t="str">
        <f t="shared" si="0"/>
        <v/>
      </c>
    </row>
    <row r="20" spans="1:12">
      <c r="A20" s="4"/>
      <c r="D20" t="str">
        <f>IF($C20="","",IFERROR(INDEX(Orders!$B:$B,MATCH($C20,Orders!$A:$A,0)),""))</f>
        <v/>
      </c>
      <c r="E20" t="str">
        <f>IF($C20="","",IFERROR(INDEX(Orders!$D:$D,MATCH($C20,Orders!$A:$A,0)),""))</f>
        <v/>
      </c>
      <c r="H20" s="5"/>
      <c r="I20" s="5"/>
      <c r="J20" s="5"/>
      <c r="K20" s="5"/>
      <c r="L20" s="5" t="str">
        <f t="shared" si="0"/>
        <v/>
      </c>
    </row>
    <row r="21" spans="1:12">
      <c r="A21" s="4"/>
      <c r="D21" t="str">
        <f>IF($C21="","",IFERROR(INDEX(Orders!$B:$B,MATCH($C21,Orders!$A:$A,0)),""))</f>
        <v/>
      </c>
      <c r="E21" t="str">
        <f>IF($C21="","",IFERROR(INDEX(Orders!$D:$D,MATCH($C21,Orders!$A:$A,0)),""))</f>
        <v/>
      </c>
      <c r="H21" s="5"/>
      <c r="I21" s="5"/>
      <c r="J21" s="5"/>
      <c r="K21" s="5"/>
      <c r="L21" s="5" t="str">
        <f t="shared" si="0"/>
        <v/>
      </c>
    </row>
    <row r="22" spans="1:12">
      <c r="A22" s="4"/>
      <c r="D22" t="str">
        <f>IF($C22="","",IFERROR(INDEX(Orders!$B:$B,MATCH($C22,Orders!$A:$A,0)),""))</f>
        <v/>
      </c>
      <c r="E22" t="str">
        <f>IF($C22="","",IFERROR(INDEX(Orders!$D:$D,MATCH($C22,Orders!$A:$A,0)),""))</f>
        <v/>
      </c>
      <c r="H22" s="5"/>
      <c r="I22" s="5"/>
      <c r="J22" s="5"/>
      <c r="K22" s="5"/>
      <c r="L22" s="5" t="str">
        <f t="shared" si="0"/>
        <v/>
      </c>
    </row>
    <row r="23" spans="1:12">
      <c r="A23" s="4"/>
      <c r="D23" t="str">
        <f>IF($C23="","",IFERROR(INDEX(Orders!$B:$B,MATCH($C23,Orders!$A:$A,0)),""))</f>
        <v/>
      </c>
      <c r="E23" t="str">
        <f>IF($C23="","",IFERROR(INDEX(Orders!$D:$D,MATCH($C23,Orders!$A:$A,0)),""))</f>
        <v/>
      </c>
      <c r="H23" s="5"/>
      <c r="I23" s="5"/>
      <c r="J23" s="5"/>
      <c r="K23" s="5"/>
      <c r="L23" s="5" t="str">
        <f t="shared" si="0"/>
        <v/>
      </c>
    </row>
    <row r="24" spans="1:12">
      <c r="A24" s="4"/>
      <c r="D24" t="str">
        <f>IF($C24="","",IFERROR(INDEX(Orders!$B:$B,MATCH($C24,Orders!$A:$A,0)),""))</f>
        <v/>
      </c>
      <c r="E24" t="str">
        <f>IF($C24="","",IFERROR(INDEX(Orders!$D:$D,MATCH($C24,Orders!$A:$A,0)),""))</f>
        <v/>
      </c>
      <c r="H24" s="5"/>
      <c r="I24" s="5"/>
      <c r="J24" s="5"/>
      <c r="K24" s="5"/>
      <c r="L24" s="5" t="str">
        <f t="shared" si="0"/>
        <v/>
      </c>
    </row>
    <row r="25" spans="1:12">
      <c r="A25" s="4"/>
      <c r="D25" t="str">
        <f>IF($C25="","",IFERROR(INDEX(Orders!$B:$B,MATCH($C25,Orders!$A:$A,0)),""))</f>
        <v/>
      </c>
      <c r="E25" t="str">
        <f>IF($C25="","",IFERROR(INDEX(Orders!$D:$D,MATCH($C25,Orders!$A:$A,0)),""))</f>
        <v/>
      </c>
      <c r="H25" s="5"/>
      <c r="I25" s="5"/>
      <c r="J25" s="5"/>
      <c r="K25" s="5"/>
      <c r="L25" s="5" t="str">
        <f t="shared" si="0"/>
        <v/>
      </c>
    </row>
    <row r="26" spans="1:12">
      <c r="A26" s="4"/>
      <c r="D26" t="str">
        <f>IF($C26="","",IFERROR(INDEX(Orders!$B:$B,MATCH($C26,Orders!$A:$A,0)),""))</f>
        <v/>
      </c>
      <c r="E26" t="str">
        <f>IF($C26="","",IFERROR(INDEX(Orders!$D:$D,MATCH($C26,Orders!$A:$A,0)),""))</f>
        <v/>
      </c>
      <c r="H26" s="5"/>
      <c r="I26" s="5"/>
      <c r="J26" s="5"/>
      <c r="K26" s="5"/>
      <c r="L26" s="5" t="str">
        <f t="shared" si="0"/>
        <v/>
      </c>
    </row>
    <row r="27" spans="1:12">
      <c r="A27" s="4"/>
      <c r="D27" t="str">
        <f>IF($C27="","",IFERROR(INDEX(Orders!$B:$B,MATCH($C27,Orders!$A:$A,0)),""))</f>
        <v/>
      </c>
      <c r="E27" t="str">
        <f>IF($C27="","",IFERROR(INDEX(Orders!$D:$D,MATCH($C27,Orders!$A:$A,0)),""))</f>
        <v/>
      </c>
      <c r="H27" s="5"/>
      <c r="I27" s="5"/>
      <c r="J27" s="5"/>
      <c r="K27" s="5"/>
      <c r="L27" s="5" t="str">
        <f t="shared" si="0"/>
        <v/>
      </c>
    </row>
    <row r="28" spans="1:12">
      <c r="A28" s="4"/>
      <c r="D28" t="str">
        <f>IF($C28="","",IFERROR(INDEX(Orders!$B:$B,MATCH($C28,Orders!$A:$A,0)),""))</f>
        <v/>
      </c>
      <c r="E28" t="str">
        <f>IF($C28="","",IFERROR(INDEX(Orders!$D:$D,MATCH($C28,Orders!$A:$A,0)),""))</f>
        <v/>
      </c>
      <c r="H28" s="5"/>
      <c r="I28" s="5"/>
      <c r="J28" s="5"/>
      <c r="K28" s="5"/>
      <c r="L28" s="5" t="str">
        <f t="shared" si="0"/>
        <v/>
      </c>
    </row>
    <row r="29" spans="1:12">
      <c r="A29" s="4"/>
      <c r="D29" t="str">
        <f>IF($C29="","",IFERROR(INDEX(Orders!$B:$B,MATCH($C29,Orders!$A:$A,0)),""))</f>
        <v/>
      </c>
      <c r="E29" t="str">
        <f>IF($C29="","",IFERROR(INDEX(Orders!$D:$D,MATCH($C29,Orders!$A:$A,0)),""))</f>
        <v/>
      </c>
      <c r="H29" s="5"/>
      <c r="I29" s="5"/>
      <c r="J29" s="5"/>
      <c r="K29" s="5"/>
      <c r="L29" s="5" t="str">
        <f t="shared" si="0"/>
        <v/>
      </c>
    </row>
    <row r="30" spans="1:12">
      <c r="A30" s="4"/>
      <c r="D30" t="str">
        <f>IF($C30="","",IFERROR(INDEX(Orders!$B:$B,MATCH($C30,Orders!$A:$A,0)),""))</f>
        <v/>
      </c>
      <c r="E30" t="str">
        <f>IF($C30="","",IFERROR(INDEX(Orders!$D:$D,MATCH($C30,Orders!$A:$A,0)),""))</f>
        <v/>
      </c>
      <c r="H30" s="5"/>
      <c r="I30" s="5"/>
      <c r="J30" s="5"/>
      <c r="K30" s="5"/>
      <c r="L30" s="5" t="str">
        <f t="shared" si="0"/>
        <v/>
      </c>
    </row>
    <row r="31" spans="1:12">
      <c r="A31" s="4"/>
      <c r="D31" t="str">
        <f>IF($C31="","",IFERROR(INDEX(Orders!$B:$B,MATCH($C31,Orders!$A:$A,0)),""))</f>
        <v/>
      </c>
      <c r="E31" t="str">
        <f>IF($C31="","",IFERROR(INDEX(Orders!$D:$D,MATCH($C31,Orders!$A:$A,0)),""))</f>
        <v/>
      </c>
      <c r="H31" s="5"/>
      <c r="I31" s="5"/>
      <c r="J31" s="5"/>
      <c r="K31" s="5"/>
      <c r="L31" s="5" t="str">
        <f t="shared" si="0"/>
        <v/>
      </c>
    </row>
    <row r="32" spans="1:12">
      <c r="A32" s="4"/>
      <c r="D32" t="str">
        <f>IF($C32="","",IFERROR(INDEX(Orders!$B:$B,MATCH($C32,Orders!$A:$A,0)),""))</f>
        <v/>
      </c>
      <c r="E32" t="str">
        <f>IF($C32="","",IFERROR(INDEX(Orders!$D:$D,MATCH($C32,Orders!$A:$A,0)),""))</f>
        <v/>
      </c>
      <c r="H32" s="5"/>
      <c r="I32" s="5"/>
      <c r="J32" s="5"/>
      <c r="K32" s="5"/>
      <c r="L32" s="5" t="str">
        <f t="shared" si="0"/>
        <v/>
      </c>
    </row>
    <row r="33" spans="1:12">
      <c r="A33" s="4"/>
      <c r="D33" t="str">
        <f>IF($C33="","",IFERROR(INDEX(Orders!$B:$B,MATCH($C33,Orders!$A:$A,0)),""))</f>
        <v/>
      </c>
      <c r="E33" t="str">
        <f>IF($C33="","",IFERROR(INDEX(Orders!$D:$D,MATCH($C33,Orders!$A:$A,0)),""))</f>
        <v/>
      </c>
      <c r="H33" s="5"/>
      <c r="I33" s="5"/>
      <c r="J33" s="5"/>
      <c r="K33" s="5"/>
      <c r="L33" s="5" t="str">
        <f t="shared" si="0"/>
        <v/>
      </c>
    </row>
    <row r="34" spans="1:12">
      <c r="A34" s="4"/>
      <c r="D34" t="str">
        <f>IF($C34="","",IFERROR(INDEX(Orders!$B:$B,MATCH($C34,Orders!$A:$A,0)),""))</f>
        <v/>
      </c>
      <c r="E34" t="str">
        <f>IF($C34="","",IFERROR(INDEX(Orders!$D:$D,MATCH($C34,Orders!$A:$A,0)),""))</f>
        <v/>
      </c>
      <c r="H34" s="5"/>
      <c r="I34" s="5"/>
      <c r="J34" s="5"/>
      <c r="K34" s="5"/>
      <c r="L34" s="5" t="str">
        <f t="shared" si="0"/>
        <v/>
      </c>
    </row>
    <row r="35" spans="1:12">
      <c r="A35" s="4"/>
      <c r="D35" t="str">
        <f>IF($C35="","",IFERROR(INDEX(Orders!$B:$B,MATCH($C35,Orders!$A:$A,0)),""))</f>
        <v/>
      </c>
      <c r="E35" t="str">
        <f>IF($C35="","",IFERROR(INDEX(Orders!$D:$D,MATCH($C35,Orders!$A:$A,0)),""))</f>
        <v/>
      </c>
      <c r="H35" s="5"/>
      <c r="I35" s="5"/>
      <c r="J35" s="5"/>
      <c r="K35" s="5"/>
      <c r="L35" s="5" t="str">
        <f t="shared" si="0"/>
        <v/>
      </c>
    </row>
    <row r="36" spans="1:12">
      <c r="A36" s="4"/>
      <c r="D36" t="str">
        <f>IF($C36="","",IFERROR(INDEX(Orders!$B:$B,MATCH($C36,Orders!$A:$A,0)),""))</f>
        <v/>
      </c>
      <c r="E36" t="str">
        <f>IF($C36="","",IFERROR(INDEX(Orders!$D:$D,MATCH($C36,Orders!$A:$A,0)),""))</f>
        <v/>
      </c>
      <c r="H36" s="5"/>
      <c r="I36" s="5"/>
      <c r="J36" s="5"/>
      <c r="K36" s="5"/>
      <c r="L36" s="5" t="str">
        <f t="shared" si="0"/>
        <v/>
      </c>
    </row>
    <row r="37" spans="1:12">
      <c r="A37" s="4"/>
      <c r="D37" t="str">
        <f>IF($C37="","",IFERROR(INDEX(Orders!$B:$B,MATCH($C37,Orders!$A:$A,0)),""))</f>
        <v/>
      </c>
      <c r="E37" t="str">
        <f>IF($C37="","",IFERROR(INDEX(Orders!$D:$D,MATCH($C37,Orders!$A:$A,0)),""))</f>
        <v/>
      </c>
      <c r="H37" s="5"/>
      <c r="I37" s="5"/>
      <c r="J37" s="5"/>
      <c r="K37" s="5"/>
      <c r="L37" s="5" t="str">
        <f t="shared" si="0"/>
        <v/>
      </c>
    </row>
    <row r="38" spans="1:12">
      <c r="A38" s="4"/>
      <c r="D38" t="str">
        <f>IF($C38="","",IFERROR(INDEX(Orders!$B:$B,MATCH($C38,Orders!$A:$A,0)),""))</f>
        <v/>
      </c>
      <c r="E38" t="str">
        <f>IF($C38="","",IFERROR(INDEX(Orders!$D:$D,MATCH($C38,Orders!$A:$A,0)),""))</f>
        <v/>
      </c>
      <c r="H38" s="5"/>
      <c r="I38" s="5"/>
      <c r="J38" s="5"/>
      <c r="K38" s="5"/>
      <c r="L38" s="5" t="str">
        <f t="shared" si="0"/>
        <v/>
      </c>
    </row>
    <row r="39" spans="1:12">
      <c r="A39" s="4"/>
      <c r="D39" t="str">
        <f>IF($C39="","",IFERROR(INDEX(Orders!$B:$B,MATCH($C39,Orders!$A:$A,0)),""))</f>
        <v/>
      </c>
      <c r="E39" t="str">
        <f>IF($C39="","",IFERROR(INDEX(Orders!$D:$D,MATCH($C39,Orders!$A:$A,0)),""))</f>
        <v/>
      </c>
      <c r="H39" s="5"/>
      <c r="I39" s="5"/>
      <c r="J39" s="5"/>
      <c r="K39" s="5"/>
      <c r="L39" s="5" t="str">
        <f t="shared" si="0"/>
        <v/>
      </c>
    </row>
    <row r="40" spans="1:12">
      <c r="A40" s="4"/>
      <c r="D40" t="str">
        <f>IF($C40="","",IFERROR(INDEX(Orders!$B:$B,MATCH($C40,Orders!$A:$A,0)),""))</f>
        <v/>
      </c>
      <c r="E40" t="str">
        <f>IF($C40="","",IFERROR(INDEX(Orders!$D:$D,MATCH($C40,Orders!$A:$A,0)),""))</f>
        <v/>
      </c>
      <c r="H40" s="5"/>
      <c r="I40" s="5"/>
      <c r="J40" s="5"/>
      <c r="K40" s="5"/>
      <c r="L40" s="5" t="str">
        <f t="shared" si="0"/>
        <v/>
      </c>
    </row>
    <row r="41" spans="1:12">
      <c r="A41" s="4"/>
      <c r="D41" t="str">
        <f>IF($C41="","",IFERROR(INDEX(Orders!$B:$B,MATCH($C41,Orders!$A:$A,0)),""))</f>
        <v/>
      </c>
      <c r="E41" t="str">
        <f>IF($C41="","",IFERROR(INDEX(Orders!$D:$D,MATCH($C41,Orders!$A:$A,0)),""))</f>
        <v/>
      </c>
      <c r="H41" s="5"/>
      <c r="I41" s="5"/>
      <c r="J41" s="5"/>
      <c r="K41" s="5"/>
      <c r="L41" s="5" t="str">
        <f t="shared" si="0"/>
        <v/>
      </c>
    </row>
    <row r="42" spans="1:12">
      <c r="A42" s="4"/>
      <c r="D42" t="str">
        <f>IF($C42="","",IFERROR(INDEX(Orders!$B:$B,MATCH($C42,Orders!$A:$A,0)),""))</f>
        <v/>
      </c>
      <c r="E42" t="str">
        <f>IF($C42="","",IFERROR(INDEX(Orders!$D:$D,MATCH($C42,Orders!$A:$A,0)),""))</f>
        <v/>
      </c>
      <c r="H42" s="5"/>
      <c r="I42" s="5"/>
      <c r="J42" s="5"/>
      <c r="K42" s="5"/>
      <c r="L42" s="5" t="str">
        <f t="shared" si="0"/>
        <v/>
      </c>
    </row>
    <row r="43" spans="1:12">
      <c r="A43" s="4"/>
      <c r="D43" t="str">
        <f>IF($C43="","",IFERROR(INDEX(Orders!$B:$B,MATCH($C43,Orders!$A:$A,0)),""))</f>
        <v/>
      </c>
      <c r="E43" t="str">
        <f>IF($C43="","",IFERROR(INDEX(Orders!$D:$D,MATCH($C43,Orders!$A:$A,0)),""))</f>
        <v/>
      </c>
      <c r="H43" s="5"/>
      <c r="I43" s="5"/>
      <c r="J43" s="5"/>
      <c r="K43" s="5"/>
      <c r="L43" s="5" t="str">
        <f t="shared" si="0"/>
        <v/>
      </c>
    </row>
    <row r="44" spans="1:12">
      <c r="A44" s="4"/>
      <c r="D44" t="str">
        <f>IF($C44="","",IFERROR(INDEX(Orders!$B:$B,MATCH($C44,Orders!$A:$A,0)),""))</f>
        <v/>
      </c>
      <c r="E44" t="str">
        <f>IF($C44="","",IFERROR(INDEX(Orders!$D:$D,MATCH($C44,Orders!$A:$A,0)),""))</f>
        <v/>
      </c>
      <c r="H44" s="5"/>
      <c r="I44" s="5"/>
      <c r="J44" s="5"/>
      <c r="K44" s="5"/>
      <c r="L44" s="5" t="str">
        <f t="shared" si="0"/>
        <v/>
      </c>
    </row>
    <row r="45" spans="1:12">
      <c r="A45" s="4"/>
      <c r="D45" t="str">
        <f>IF($C45="","",IFERROR(INDEX(Orders!$B:$B,MATCH($C45,Orders!$A:$A,0)),""))</f>
        <v/>
      </c>
      <c r="E45" t="str">
        <f>IF($C45="","",IFERROR(INDEX(Orders!$D:$D,MATCH($C45,Orders!$A:$A,0)),""))</f>
        <v/>
      </c>
      <c r="H45" s="5"/>
      <c r="I45" s="5"/>
      <c r="J45" s="5"/>
      <c r="K45" s="5"/>
      <c r="L45" s="5" t="str">
        <f t="shared" si="0"/>
        <v/>
      </c>
    </row>
    <row r="46" spans="1:12">
      <c r="A46" s="4"/>
      <c r="D46" t="str">
        <f>IF($C46="","",IFERROR(INDEX(Orders!$B:$B,MATCH($C46,Orders!$A:$A,0)),""))</f>
        <v/>
      </c>
      <c r="E46" t="str">
        <f>IF($C46="","",IFERROR(INDEX(Orders!$D:$D,MATCH($C46,Orders!$A:$A,0)),""))</f>
        <v/>
      </c>
      <c r="H46" s="5"/>
      <c r="I46" s="5"/>
      <c r="J46" s="5"/>
      <c r="K46" s="5"/>
      <c r="L46" s="5" t="str">
        <f t="shared" si="0"/>
        <v/>
      </c>
    </row>
    <row r="47" spans="1:12">
      <c r="A47" s="4"/>
      <c r="D47" t="str">
        <f>IF($C47="","",IFERROR(INDEX(Orders!$B:$B,MATCH($C47,Orders!$A:$A,0)),""))</f>
        <v/>
      </c>
      <c r="E47" t="str">
        <f>IF($C47="","",IFERROR(INDEX(Orders!$D:$D,MATCH($C47,Orders!$A:$A,0)),""))</f>
        <v/>
      </c>
      <c r="H47" s="5"/>
      <c r="I47" s="5"/>
      <c r="J47" s="5"/>
      <c r="K47" s="5"/>
      <c r="L47" s="5" t="str">
        <f t="shared" si="0"/>
        <v/>
      </c>
    </row>
    <row r="48" spans="1:12">
      <c r="A48" s="4"/>
      <c r="D48" t="str">
        <f>IF($C48="","",IFERROR(INDEX(Orders!$B:$B,MATCH($C48,Orders!$A:$A,0)),""))</f>
        <v/>
      </c>
      <c r="E48" t="str">
        <f>IF($C48="","",IFERROR(INDEX(Orders!$D:$D,MATCH($C48,Orders!$A:$A,0)),""))</f>
        <v/>
      </c>
      <c r="H48" s="5"/>
      <c r="I48" s="5"/>
      <c r="J48" s="5"/>
      <c r="K48" s="5"/>
      <c r="L48" s="5" t="str">
        <f t="shared" si="0"/>
        <v/>
      </c>
    </row>
    <row r="49" spans="1:12">
      <c r="A49" s="4"/>
      <c r="D49" t="str">
        <f>IF($C49="","",IFERROR(INDEX(Orders!$B:$B,MATCH($C49,Orders!$A:$A,0)),""))</f>
        <v/>
      </c>
      <c r="E49" t="str">
        <f>IF($C49="","",IFERROR(INDEX(Orders!$D:$D,MATCH($C49,Orders!$A:$A,0)),""))</f>
        <v/>
      </c>
      <c r="H49" s="5"/>
      <c r="I49" s="5"/>
      <c r="J49" s="5"/>
      <c r="K49" s="5"/>
      <c r="L49" s="5" t="str">
        <f t="shared" si="0"/>
        <v/>
      </c>
    </row>
    <row r="50" spans="1:12">
      <c r="A50" s="4"/>
      <c r="D50" t="str">
        <f>IF($C50="","",IFERROR(INDEX(Orders!$B:$B,MATCH($C50,Orders!$A:$A,0)),""))</f>
        <v/>
      </c>
      <c r="E50" t="str">
        <f>IF($C50="","",IFERROR(INDEX(Orders!$D:$D,MATCH($C50,Orders!$A:$A,0)),""))</f>
        <v/>
      </c>
      <c r="H50" s="5"/>
      <c r="I50" s="5"/>
      <c r="J50" s="5"/>
      <c r="K50" s="5"/>
      <c r="L50" s="5" t="str">
        <f t="shared" si="0"/>
        <v/>
      </c>
    </row>
    <row r="51" spans="1:12">
      <c r="A51" s="4"/>
      <c r="D51" t="str">
        <f>IF($C51="","",IFERROR(INDEX(Orders!$B:$B,MATCH($C51,Orders!$A:$A,0)),""))</f>
        <v/>
      </c>
      <c r="E51" t="str">
        <f>IF($C51="","",IFERROR(INDEX(Orders!$D:$D,MATCH($C51,Orders!$A:$A,0)),""))</f>
        <v/>
      </c>
      <c r="H51" s="5"/>
      <c r="I51" s="5"/>
      <c r="J51" s="5"/>
      <c r="K51" s="5"/>
      <c r="L51" s="5" t="str">
        <f t="shared" si="0"/>
        <v/>
      </c>
    </row>
    <row r="52" spans="1:12">
      <c r="A52" s="4"/>
      <c r="D52" t="str">
        <f>IF($C52="","",IFERROR(INDEX(Orders!$B:$B,MATCH($C52,Orders!$A:$A,0)),""))</f>
        <v/>
      </c>
      <c r="E52" t="str">
        <f>IF($C52="","",IFERROR(INDEX(Orders!$D:$D,MATCH($C52,Orders!$A:$A,0)),""))</f>
        <v/>
      </c>
      <c r="H52" s="5"/>
      <c r="I52" s="5"/>
      <c r="J52" s="5"/>
      <c r="K52" s="5"/>
      <c r="L52" s="5" t="str">
        <f t="shared" si="0"/>
        <v/>
      </c>
    </row>
    <row r="53" spans="1:12">
      <c r="A53" s="4"/>
      <c r="D53" t="str">
        <f>IF($C53="","",IFERROR(INDEX(Orders!$B:$B,MATCH($C53,Orders!$A:$A,0)),""))</f>
        <v/>
      </c>
      <c r="E53" t="str">
        <f>IF($C53="","",IFERROR(INDEX(Orders!$D:$D,MATCH($C53,Orders!$A:$A,0)),""))</f>
        <v/>
      </c>
      <c r="H53" s="5"/>
      <c r="I53" s="5"/>
      <c r="J53" s="5"/>
      <c r="K53" s="5"/>
      <c r="L53" s="5" t="str">
        <f t="shared" si="0"/>
        <v/>
      </c>
    </row>
    <row r="54" spans="1:12">
      <c r="A54" s="4"/>
      <c r="D54" t="str">
        <f>IF($C54="","",IFERROR(INDEX(Orders!$B:$B,MATCH($C54,Orders!$A:$A,0)),""))</f>
        <v/>
      </c>
      <c r="E54" t="str">
        <f>IF($C54="","",IFERROR(INDEX(Orders!$D:$D,MATCH($C54,Orders!$A:$A,0)),""))</f>
        <v/>
      </c>
      <c r="H54" s="5"/>
      <c r="I54" s="5"/>
      <c r="J54" s="5"/>
      <c r="K54" s="5"/>
      <c r="L54" s="5" t="str">
        <f t="shared" si="0"/>
        <v/>
      </c>
    </row>
    <row r="55" spans="1:12">
      <c r="A55" s="4"/>
      <c r="D55" t="str">
        <f>IF($C55="","",IFERROR(INDEX(Orders!$B:$B,MATCH($C55,Orders!$A:$A,0)),""))</f>
        <v/>
      </c>
      <c r="E55" t="str">
        <f>IF($C55="","",IFERROR(INDEX(Orders!$D:$D,MATCH($C55,Orders!$A:$A,0)),""))</f>
        <v/>
      </c>
      <c r="H55" s="5"/>
      <c r="I55" s="5"/>
      <c r="J55" s="5"/>
      <c r="K55" s="5"/>
      <c r="L55" s="5" t="str">
        <f t="shared" si="0"/>
        <v/>
      </c>
    </row>
    <row r="56" spans="1:12">
      <c r="A56" s="4"/>
      <c r="D56" t="str">
        <f>IF($C56="","",IFERROR(INDEX(Orders!$B:$B,MATCH($C56,Orders!$A:$A,0)),""))</f>
        <v/>
      </c>
      <c r="E56" t="str">
        <f>IF($C56="","",IFERROR(INDEX(Orders!$D:$D,MATCH($C56,Orders!$A:$A,0)),""))</f>
        <v/>
      </c>
      <c r="H56" s="5"/>
      <c r="I56" s="5"/>
      <c r="J56" s="5"/>
      <c r="K56" s="5"/>
      <c r="L56" s="5" t="str">
        <f t="shared" si="0"/>
        <v/>
      </c>
    </row>
    <row r="57" spans="1:12">
      <c r="A57" s="4"/>
      <c r="D57" t="str">
        <f>IF($C57="","",IFERROR(INDEX(Orders!$B:$B,MATCH($C57,Orders!$A:$A,0)),""))</f>
        <v/>
      </c>
      <c r="E57" t="str">
        <f>IF($C57="","",IFERROR(INDEX(Orders!$D:$D,MATCH($C57,Orders!$A:$A,0)),""))</f>
        <v/>
      </c>
      <c r="H57" s="5"/>
      <c r="I57" s="5"/>
      <c r="J57" s="5"/>
      <c r="K57" s="5"/>
      <c r="L57" s="5" t="str">
        <f t="shared" si="0"/>
        <v/>
      </c>
    </row>
    <row r="58" spans="1:12">
      <c r="A58" s="4"/>
      <c r="D58" t="str">
        <f>IF($C58="","",IFERROR(INDEX(Orders!$B:$B,MATCH($C58,Orders!$A:$A,0)),""))</f>
        <v/>
      </c>
      <c r="E58" t="str">
        <f>IF($C58="","",IFERROR(INDEX(Orders!$D:$D,MATCH($C58,Orders!$A:$A,0)),""))</f>
        <v/>
      </c>
      <c r="H58" s="5"/>
      <c r="I58" s="5"/>
      <c r="J58" s="5"/>
      <c r="K58" s="5"/>
      <c r="L58" s="5" t="str">
        <f t="shared" si="0"/>
        <v/>
      </c>
    </row>
    <row r="59" spans="1:12">
      <c r="A59" s="4"/>
      <c r="D59" t="str">
        <f>IF($C59="","",IFERROR(INDEX(Orders!$B:$B,MATCH($C59,Orders!$A:$A,0)),""))</f>
        <v/>
      </c>
      <c r="E59" t="str">
        <f>IF($C59="","",IFERROR(INDEX(Orders!$D:$D,MATCH($C59,Orders!$A:$A,0)),""))</f>
        <v/>
      </c>
      <c r="H59" s="5"/>
      <c r="I59" s="5"/>
      <c r="J59" s="5"/>
      <c r="K59" s="5"/>
      <c r="L59" s="5" t="str">
        <f t="shared" si="0"/>
        <v/>
      </c>
    </row>
    <row r="60" spans="1:12">
      <c r="A60" s="4"/>
      <c r="D60" t="str">
        <f>IF($C60="","",IFERROR(INDEX(Orders!$B:$B,MATCH($C60,Orders!$A:$A,0)),""))</f>
        <v/>
      </c>
      <c r="E60" t="str">
        <f>IF($C60="","",IFERROR(INDEX(Orders!$D:$D,MATCH($C60,Orders!$A:$A,0)),""))</f>
        <v/>
      </c>
      <c r="H60" s="5"/>
      <c r="I60" s="5"/>
      <c r="J60" s="5"/>
      <c r="K60" s="5"/>
      <c r="L60" s="5" t="str">
        <f t="shared" si="0"/>
        <v/>
      </c>
    </row>
    <row r="61" spans="1:12">
      <c r="A61" s="4"/>
      <c r="D61" t="str">
        <f>IF($C61="","",IFERROR(INDEX(Orders!$B:$B,MATCH($C61,Orders!$A:$A,0)),""))</f>
        <v/>
      </c>
      <c r="E61" t="str">
        <f>IF($C61="","",IFERROR(INDEX(Orders!$D:$D,MATCH($C61,Orders!$A:$A,0)),""))</f>
        <v/>
      </c>
      <c r="H61" s="5"/>
      <c r="I61" s="5"/>
      <c r="J61" s="5"/>
      <c r="K61" s="5"/>
      <c r="L61" s="5" t="str">
        <f t="shared" si="0"/>
        <v/>
      </c>
    </row>
    <row r="62" spans="1:12">
      <c r="A62" s="4"/>
      <c r="D62" t="str">
        <f>IF($C62="","",IFERROR(INDEX(Orders!$B:$B,MATCH($C62,Orders!$A:$A,0)),""))</f>
        <v/>
      </c>
      <c r="E62" t="str">
        <f>IF($C62="","",IFERROR(INDEX(Orders!$D:$D,MATCH($C62,Orders!$A:$A,0)),""))</f>
        <v/>
      </c>
      <c r="H62" s="5"/>
      <c r="I62" s="5"/>
      <c r="J62" s="5"/>
      <c r="K62" s="5"/>
      <c r="L62" s="5" t="str">
        <f t="shared" si="0"/>
        <v/>
      </c>
    </row>
    <row r="63" spans="1:12">
      <c r="A63" s="4"/>
      <c r="D63" t="str">
        <f>IF($C63="","",IFERROR(INDEX(Orders!$B:$B,MATCH($C63,Orders!$A:$A,0)),""))</f>
        <v/>
      </c>
      <c r="E63" t="str">
        <f>IF($C63="","",IFERROR(INDEX(Orders!$D:$D,MATCH($C63,Orders!$A:$A,0)),""))</f>
        <v/>
      </c>
      <c r="H63" s="5"/>
      <c r="I63" s="5"/>
      <c r="J63" s="5"/>
      <c r="K63" s="5"/>
      <c r="L63" s="5" t="str">
        <f t="shared" si="0"/>
        <v/>
      </c>
    </row>
    <row r="64" spans="1:12">
      <c r="A64" s="4"/>
      <c r="D64" t="str">
        <f>IF($C64="","",IFERROR(INDEX(Orders!$B:$B,MATCH($C64,Orders!$A:$A,0)),""))</f>
        <v/>
      </c>
      <c r="E64" t="str">
        <f>IF($C64="","",IFERROR(INDEX(Orders!$D:$D,MATCH($C64,Orders!$A:$A,0)),""))</f>
        <v/>
      </c>
      <c r="H64" s="5"/>
      <c r="I64" s="5"/>
      <c r="J64" s="5"/>
      <c r="K64" s="5"/>
      <c r="L64" s="5" t="str">
        <f t="shared" si="0"/>
        <v/>
      </c>
    </row>
    <row r="65" spans="1:12">
      <c r="A65" s="4"/>
      <c r="D65" t="str">
        <f>IF($C65="","",IFERROR(INDEX(Orders!$B:$B,MATCH($C65,Orders!$A:$A,0)),""))</f>
        <v/>
      </c>
      <c r="E65" t="str">
        <f>IF($C65="","",IFERROR(INDEX(Orders!$D:$D,MATCH($C65,Orders!$A:$A,0)),""))</f>
        <v/>
      </c>
      <c r="H65" s="5"/>
      <c r="I65" s="5"/>
      <c r="J65" s="5"/>
      <c r="K65" s="5"/>
      <c r="L65" s="5" t="str">
        <f t="shared" si="0"/>
        <v/>
      </c>
    </row>
    <row r="66" spans="1:12">
      <c r="A66" s="4"/>
      <c r="D66" t="str">
        <f>IF($C66="","",IFERROR(INDEX(Orders!$B:$B,MATCH($C66,Orders!$A:$A,0)),""))</f>
        <v/>
      </c>
      <c r="E66" t="str">
        <f>IF($C66="","",IFERROR(INDEX(Orders!$D:$D,MATCH($C66,Orders!$A:$A,0)),""))</f>
        <v/>
      </c>
      <c r="H66" s="5"/>
      <c r="I66" s="5"/>
      <c r="J66" s="5"/>
      <c r="K66" s="5"/>
      <c r="L66" s="5" t="str">
        <f t="shared" ref="L66:L129" si="1">IF($C66="","",$H66-$I66-$K66)</f>
        <v/>
      </c>
    </row>
    <row r="67" spans="1:12">
      <c r="A67" s="4"/>
      <c r="D67" t="str">
        <f>IF($C67="","",IFERROR(INDEX(Orders!$B:$B,MATCH($C67,Orders!$A:$A,0)),""))</f>
        <v/>
      </c>
      <c r="E67" t="str">
        <f>IF($C67="","",IFERROR(INDEX(Orders!$D:$D,MATCH($C67,Orders!$A:$A,0)),""))</f>
        <v/>
      </c>
      <c r="H67" s="5"/>
      <c r="I67" s="5"/>
      <c r="J67" s="5"/>
      <c r="K67" s="5"/>
      <c r="L67" s="5" t="str">
        <f t="shared" si="1"/>
        <v/>
      </c>
    </row>
    <row r="68" spans="1:12">
      <c r="A68" s="4"/>
      <c r="D68" t="str">
        <f>IF($C68="","",IFERROR(INDEX(Orders!$B:$B,MATCH($C68,Orders!$A:$A,0)),""))</f>
        <v/>
      </c>
      <c r="E68" t="str">
        <f>IF($C68="","",IFERROR(INDEX(Orders!$D:$D,MATCH($C68,Orders!$A:$A,0)),""))</f>
        <v/>
      </c>
      <c r="H68" s="5"/>
      <c r="I68" s="5"/>
      <c r="J68" s="5"/>
      <c r="K68" s="5"/>
      <c r="L68" s="5" t="str">
        <f t="shared" si="1"/>
        <v/>
      </c>
    </row>
    <row r="69" spans="1:12">
      <c r="A69" s="4"/>
      <c r="D69" t="str">
        <f>IF($C69="","",IFERROR(INDEX(Orders!$B:$B,MATCH($C69,Orders!$A:$A,0)),""))</f>
        <v/>
      </c>
      <c r="E69" t="str">
        <f>IF($C69="","",IFERROR(INDEX(Orders!$D:$D,MATCH($C69,Orders!$A:$A,0)),""))</f>
        <v/>
      </c>
      <c r="H69" s="5"/>
      <c r="I69" s="5"/>
      <c r="J69" s="5"/>
      <c r="K69" s="5"/>
      <c r="L69" s="5" t="str">
        <f t="shared" si="1"/>
        <v/>
      </c>
    </row>
    <row r="70" spans="1:12">
      <c r="A70" s="4"/>
      <c r="D70" t="str">
        <f>IF($C70="","",IFERROR(INDEX(Orders!$B:$B,MATCH($C70,Orders!$A:$A,0)),""))</f>
        <v/>
      </c>
      <c r="E70" t="str">
        <f>IF($C70="","",IFERROR(INDEX(Orders!$D:$D,MATCH($C70,Orders!$A:$A,0)),""))</f>
        <v/>
      </c>
      <c r="H70" s="5"/>
      <c r="I70" s="5"/>
      <c r="J70" s="5"/>
      <c r="K70" s="5"/>
      <c r="L70" s="5" t="str">
        <f t="shared" si="1"/>
        <v/>
      </c>
    </row>
    <row r="71" spans="1:12">
      <c r="A71" s="4"/>
      <c r="D71" t="str">
        <f>IF($C71="","",IFERROR(INDEX(Orders!$B:$B,MATCH($C71,Orders!$A:$A,0)),""))</f>
        <v/>
      </c>
      <c r="E71" t="str">
        <f>IF($C71="","",IFERROR(INDEX(Orders!$D:$D,MATCH($C71,Orders!$A:$A,0)),""))</f>
        <v/>
      </c>
      <c r="H71" s="5"/>
      <c r="I71" s="5"/>
      <c r="J71" s="5"/>
      <c r="K71" s="5"/>
      <c r="L71" s="5" t="str">
        <f t="shared" si="1"/>
        <v/>
      </c>
    </row>
    <row r="72" spans="1:12">
      <c r="A72" s="4"/>
      <c r="D72" t="str">
        <f>IF($C72="","",IFERROR(INDEX(Orders!$B:$B,MATCH($C72,Orders!$A:$A,0)),""))</f>
        <v/>
      </c>
      <c r="E72" t="str">
        <f>IF($C72="","",IFERROR(INDEX(Orders!$D:$D,MATCH($C72,Orders!$A:$A,0)),""))</f>
        <v/>
      </c>
      <c r="H72" s="5"/>
      <c r="I72" s="5"/>
      <c r="J72" s="5"/>
      <c r="K72" s="5"/>
      <c r="L72" s="5" t="str">
        <f t="shared" si="1"/>
        <v/>
      </c>
    </row>
    <row r="73" spans="1:12">
      <c r="A73" s="4"/>
      <c r="D73" t="str">
        <f>IF($C73="","",IFERROR(INDEX(Orders!$B:$B,MATCH($C73,Orders!$A:$A,0)),""))</f>
        <v/>
      </c>
      <c r="E73" t="str">
        <f>IF($C73="","",IFERROR(INDEX(Orders!$D:$D,MATCH($C73,Orders!$A:$A,0)),""))</f>
        <v/>
      </c>
      <c r="H73" s="5"/>
      <c r="I73" s="5"/>
      <c r="J73" s="5"/>
      <c r="K73" s="5"/>
      <c r="L73" s="5" t="str">
        <f t="shared" si="1"/>
        <v/>
      </c>
    </row>
    <row r="74" spans="1:12">
      <c r="A74" s="4"/>
      <c r="D74" t="str">
        <f>IF($C74="","",IFERROR(INDEX(Orders!$B:$B,MATCH($C74,Orders!$A:$A,0)),""))</f>
        <v/>
      </c>
      <c r="E74" t="str">
        <f>IF($C74="","",IFERROR(INDEX(Orders!$D:$D,MATCH($C74,Orders!$A:$A,0)),""))</f>
        <v/>
      </c>
      <c r="H74" s="5"/>
      <c r="I74" s="5"/>
      <c r="J74" s="5"/>
      <c r="K74" s="5"/>
      <c r="L74" s="5" t="str">
        <f t="shared" si="1"/>
        <v/>
      </c>
    </row>
    <row r="75" spans="1:12">
      <c r="A75" s="4"/>
      <c r="D75" t="str">
        <f>IF($C75="","",IFERROR(INDEX(Orders!$B:$B,MATCH($C75,Orders!$A:$A,0)),""))</f>
        <v/>
      </c>
      <c r="E75" t="str">
        <f>IF($C75="","",IFERROR(INDEX(Orders!$D:$D,MATCH($C75,Orders!$A:$A,0)),""))</f>
        <v/>
      </c>
      <c r="H75" s="5"/>
      <c r="I75" s="5"/>
      <c r="J75" s="5"/>
      <c r="K75" s="5"/>
      <c r="L75" s="5" t="str">
        <f t="shared" si="1"/>
        <v/>
      </c>
    </row>
    <row r="76" spans="1:12">
      <c r="A76" s="4"/>
      <c r="D76" t="str">
        <f>IF($C76="","",IFERROR(INDEX(Orders!$B:$B,MATCH($C76,Orders!$A:$A,0)),""))</f>
        <v/>
      </c>
      <c r="E76" t="str">
        <f>IF($C76="","",IFERROR(INDEX(Orders!$D:$D,MATCH($C76,Orders!$A:$A,0)),""))</f>
        <v/>
      </c>
      <c r="H76" s="5"/>
      <c r="I76" s="5"/>
      <c r="J76" s="5"/>
      <c r="K76" s="5"/>
      <c r="L76" s="5" t="str">
        <f t="shared" si="1"/>
        <v/>
      </c>
    </row>
    <row r="77" spans="1:12">
      <c r="A77" s="4"/>
      <c r="D77" t="str">
        <f>IF($C77="","",IFERROR(INDEX(Orders!$B:$B,MATCH($C77,Orders!$A:$A,0)),""))</f>
        <v/>
      </c>
      <c r="E77" t="str">
        <f>IF($C77="","",IFERROR(INDEX(Orders!$D:$D,MATCH($C77,Orders!$A:$A,0)),""))</f>
        <v/>
      </c>
      <c r="H77" s="5"/>
      <c r="I77" s="5"/>
      <c r="J77" s="5"/>
      <c r="K77" s="5"/>
      <c r="L77" s="5" t="str">
        <f t="shared" si="1"/>
        <v/>
      </c>
    </row>
    <row r="78" spans="1:12">
      <c r="A78" s="4"/>
      <c r="D78" t="str">
        <f>IF($C78="","",IFERROR(INDEX(Orders!$B:$B,MATCH($C78,Orders!$A:$A,0)),""))</f>
        <v/>
      </c>
      <c r="E78" t="str">
        <f>IF($C78="","",IFERROR(INDEX(Orders!$D:$D,MATCH($C78,Orders!$A:$A,0)),""))</f>
        <v/>
      </c>
      <c r="H78" s="5"/>
      <c r="I78" s="5"/>
      <c r="J78" s="5"/>
      <c r="K78" s="5"/>
      <c r="L78" s="5" t="str">
        <f t="shared" si="1"/>
        <v/>
      </c>
    </row>
    <row r="79" spans="1:12">
      <c r="A79" s="4"/>
      <c r="D79" t="str">
        <f>IF($C79="","",IFERROR(INDEX(Orders!$B:$B,MATCH($C79,Orders!$A:$A,0)),""))</f>
        <v/>
      </c>
      <c r="E79" t="str">
        <f>IF($C79="","",IFERROR(INDEX(Orders!$D:$D,MATCH($C79,Orders!$A:$A,0)),""))</f>
        <v/>
      </c>
      <c r="H79" s="5"/>
      <c r="I79" s="5"/>
      <c r="J79" s="5"/>
      <c r="K79" s="5"/>
      <c r="L79" s="5" t="str">
        <f t="shared" si="1"/>
        <v/>
      </c>
    </row>
    <row r="80" spans="1:12">
      <c r="A80" s="4"/>
      <c r="D80" t="str">
        <f>IF($C80="","",IFERROR(INDEX(Orders!$B:$B,MATCH($C80,Orders!$A:$A,0)),""))</f>
        <v/>
      </c>
      <c r="E80" t="str">
        <f>IF($C80="","",IFERROR(INDEX(Orders!$D:$D,MATCH($C80,Orders!$A:$A,0)),""))</f>
        <v/>
      </c>
      <c r="H80" s="5"/>
      <c r="I80" s="5"/>
      <c r="J80" s="5"/>
      <c r="K80" s="5"/>
      <c r="L80" s="5" t="str">
        <f t="shared" si="1"/>
        <v/>
      </c>
    </row>
    <row r="81" spans="1:12">
      <c r="A81" s="4"/>
      <c r="D81" t="str">
        <f>IF($C81="","",IFERROR(INDEX(Orders!$B:$B,MATCH($C81,Orders!$A:$A,0)),""))</f>
        <v/>
      </c>
      <c r="E81" t="str">
        <f>IF($C81="","",IFERROR(INDEX(Orders!$D:$D,MATCH($C81,Orders!$A:$A,0)),""))</f>
        <v/>
      </c>
      <c r="H81" s="5"/>
      <c r="I81" s="5"/>
      <c r="J81" s="5"/>
      <c r="K81" s="5"/>
      <c r="L81" s="5" t="str">
        <f t="shared" si="1"/>
        <v/>
      </c>
    </row>
    <row r="82" spans="1:12">
      <c r="A82" s="4"/>
      <c r="D82" t="str">
        <f>IF($C82="","",IFERROR(INDEX(Orders!$B:$B,MATCH($C82,Orders!$A:$A,0)),""))</f>
        <v/>
      </c>
      <c r="E82" t="str">
        <f>IF($C82="","",IFERROR(INDEX(Orders!$D:$D,MATCH($C82,Orders!$A:$A,0)),""))</f>
        <v/>
      </c>
      <c r="H82" s="5"/>
      <c r="I82" s="5"/>
      <c r="J82" s="5"/>
      <c r="K82" s="5"/>
      <c r="L82" s="5" t="str">
        <f t="shared" si="1"/>
        <v/>
      </c>
    </row>
    <row r="83" spans="1:12">
      <c r="A83" s="4"/>
      <c r="D83" t="str">
        <f>IF($C83="","",IFERROR(INDEX(Orders!$B:$B,MATCH($C83,Orders!$A:$A,0)),""))</f>
        <v/>
      </c>
      <c r="E83" t="str">
        <f>IF($C83="","",IFERROR(INDEX(Orders!$D:$D,MATCH($C83,Orders!$A:$A,0)),""))</f>
        <v/>
      </c>
      <c r="H83" s="5"/>
      <c r="I83" s="5"/>
      <c r="J83" s="5"/>
      <c r="K83" s="5"/>
      <c r="L83" s="5" t="str">
        <f t="shared" si="1"/>
        <v/>
      </c>
    </row>
    <row r="84" spans="1:12">
      <c r="A84" s="4"/>
      <c r="D84" t="str">
        <f>IF($C84="","",IFERROR(INDEX(Orders!$B:$B,MATCH($C84,Orders!$A:$A,0)),""))</f>
        <v/>
      </c>
      <c r="E84" t="str">
        <f>IF($C84="","",IFERROR(INDEX(Orders!$D:$D,MATCH($C84,Orders!$A:$A,0)),""))</f>
        <v/>
      </c>
      <c r="H84" s="5"/>
      <c r="I84" s="5"/>
      <c r="J84" s="5"/>
      <c r="K84" s="5"/>
      <c r="L84" s="5" t="str">
        <f t="shared" si="1"/>
        <v/>
      </c>
    </row>
    <row r="85" spans="1:12">
      <c r="A85" s="4"/>
      <c r="D85" t="str">
        <f>IF($C85="","",IFERROR(INDEX(Orders!$B:$B,MATCH($C85,Orders!$A:$A,0)),""))</f>
        <v/>
      </c>
      <c r="E85" t="str">
        <f>IF($C85="","",IFERROR(INDEX(Orders!$D:$D,MATCH($C85,Orders!$A:$A,0)),""))</f>
        <v/>
      </c>
      <c r="H85" s="5"/>
      <c r="I85" s="5"/>
      <c r="J85" s="5"/>
      <c r="K85" s="5"/>
      <c r="L85" s="5" t="str">
        <f t="shared" si="1"/>
        <v/>
      </c>
    </row>
    <row r="86" spans="1:12">
      <c r="A86" s="4"/>
      <c r="D86" t="str">
        <f>IF($C86="","",IFERROR(INDEX(Orders!$B:$B,MATCH($C86,Orders!$A:$A,0)),""))</f>
        <v/>
      </c>
      <c r="E86" t="str">
        <f>IF($C86="","",IFERROR(INDEX(Orders!$D:$D,MATCH($C86,Orders!$A:$A,0)),""))</f>
        <v/>
      </c>
      <c r="H86" s="5"/>
      <c r="I86" s="5"/>
      <c r="J86" s="5"/>
      <c r="K86" s="5"/>
      <c r="L86" s="5" t="str">
        <f t="shared" si="1"/>
        <v/>
      </c>
    </row>
    <row r="87" spans="1:12">
      <c r="A87" s="4"/>
      <c r="D87" t="str">
        <f>IF($C87="","",IFERROR(INDEX(Orders!$B:$B,MATCH($C87,Orders!$A:$A,0)),""))</f>
        <v/>
      </c>
      <c r="E87" t="str">
        <f>IF($C87="","",IFERROR(INDEX(Orders!$D:$D,MATCH($C87,Orders!$A:$A,0)),""))</f>
        <v/>
      </c>
      <c r="H87" s="5"/>
      <c r="I87" s="5"/>
      <c r="J87" s="5"/>
      <c r="K87" s="5"/>
      <c r="L87" s="5" t="str">
        <f t="shared" si="1"/>
        <v/>
      </c>
    </row>
    <row r="88" spans="1:12">
      <c r="A88" s="4"/>
      <c r="D88" t="str">
        <f>IF($C88="","",IFERROR(INDEX(Orders!$B:$B,MATCH($C88,Orders!$A:$A,0)),""))</f>
        <v/>
      </c>
      <c r="E88" t="str">
        <f>IF($C88="","",IFERROR(INDEX(Orders!$D:$D,MATCH($C88,Orders!$A:$A,0)),""))</f>
        <v/>
      </c>
      <c r="H88" s="5"/>
      <c r="I88" s="5"/>
      <c r="J88" s="5"/>
      <c r="K88" s="5"/>
      <c r="L88" s="5" t="str">
        <f t="shared" si="1"/>
        <v/>
      </c>
    </row>
    <row r="89" spans="1:12">
      <c r="A89" s="4"/>
      <c r="D89" t="str">
        <f>IF($C89="","",IFERROR(INDEX(Orders!$B:$B,MATCH($C89,Orders!$A:$A,0)),""))</f>
        <v/>
      </c>
      <c r="E89" t="str">
        <f>IF($C89="","",IFERROR(INDEX(Orders!$D:$D,MATCH($C89,Orders!$A:$A,0)),""))</f>
        <v/>
      </c>
      <c r="H89" s="5"/>
      <c r="I89" s="5"/>
      <c r="J89" s="5"/>
      <c r="K89" s="5"/>
      <c r="L89" s="5" t="str">
        <f t="shared" si="1"/>
        <v/>
      </c>
    </row>
    <row r="90" spans="1:12">
      <c r="A90" s="4"/>
      <c r="D90" t="str">
        <f>IF($C90="","",IFERROR(INDEX(Orders!$B:$B,MATCH($C90,Orders!$A:$A,0)),""))</f>
        <v/>
      </c>
      <c r="E90" t="str">
        <f>IF($C90="","",IFERROR(INDEX(Orders!$D:$D,MATCH($C90,Orders!$A:$A,0)),""))</f>
        <v/>
      </c>
      <c r="H90" s="5"/>
      <c r="I90" s="5"/>
      <c r="J90" s="5"/>
      <c r="K90" s="5"/>
      <c r="L90" s="5" t="str">
        <f t="shared" si="1"/>
        <v/>
      </c>
    </row>
    <row r="91" spans="1:12">
      <c r="A91" s="4"/>
      <c r="D91" t="str">
        <f>IF($C91="","",IFERROR(INDEX(Orders!$B:$B,MATCH($C91,Orders!$A:$A,0)),""))</f>
        <v/>
      </c>
      <c r="E91" t="str">
        <f>IF($C91="","",IFERROR(INDEX(Orders!$D:$D,MATCH($C91,Orders!$A:$A,0)),""))</f>
        <v/>
      </c>
      <c r="H91" s="5"/>
      <c r="I91" s="5"/>
      <c r="J91" s="5"/>
      <c r="K91" s="5"/>
      <c r="L91" s="5" t="str">
        <f t="shared" si="1"/>
        <v/>
      </c>
    </row>
    <row r="92" spans="1:12">
      <c r="A92" s="4"/>
      <c r="D92" t="str">
        <f>IF($C92="","",IFERROR(INDEX(Orders!$B:$B,MATCH($C92,Orders!$A:$A,0)),""))</f>
        <v/>
      </c>
      <c r="E92" t="str">
        <f>IF($C92="","",IFERROR(INDEX(Orders!$D:$D,MATCH($C92,Orders!$A:$A,0)),""))</f>
        <v/>
      </c>
      <c r="H92" s="5"/>
      <c r="I92" s="5"/>
      <c r="J92" s="5"/>
      <c r="K92" s="5"/>
      <c r="L92" s="5" t="str">
        <f t="shared" si="1"/>
        <v/>
      </c>
    </row>
    <row r="93" spans="1:12">
      <c r="A93" s="4"/>
      <c r="D93" t="str">
        <f>IF($C93="","",IFERROR(INDEX(Orders!$B:$B,MATCH($C93,Orders!$A:$A,0)),""))</f>
        <v/>
      </c>
      <c r="E93" t="str">
        <f>IF($C93="","",IFERROR(INDEX(Orders!$D:$D,MATCH($C93,Orders!$A:$A,0)),""))</f>
        <v/>
      </c>
      <c r="H93" s="5"/>
      <c r="I93" s="5"/>
      <c r="J93" s="5"/>
      <c r="K93" s="5"/>
      <c r="L93" s="5" t="str">
        <f t="shared" si="1"/>
        <v/>
      </c>
    </row>
    <row r="94" spans="1:12">
      <c r="A94" s="4"/>
      <c r="D94" t="str">
        <f>IF($C94="","",IFERROR(INDEX(Orders!$B:$B,MATCH($C94,Orders!$A:$A,0)),""))</f>
        <v/>
      </c>
      <c r="E94" t="str">
        <f>IF($C94="","",IFERROR(INDEX(Orders!$D:$D,MATCH($C94,Orders!$A:$A,0)),""))</f>
        <v/>
      </c>
      <c r="H94" s="5"/>
      <c r="I94" s="5"/>
      <c r="J94" s="5"/>
      <c r="K94" s="5"/>
      <c r="L94" s="5" t="str">
        <f t="shared" si="1"/>
        <v/>
      </c>
    </row>
    <row r="95" spans="1:12">
      <c r="A95" s="4"/>
      <c r="D95" t="str">
        <f>IF($C95="","",IFERROR(INDEX(Orders!$B:$B,MATCH($C95,Orders!$A:$A,0)),""))</f>
        <v/>
      </c>
      <c r="E95" t="str">
        <f>IF($C95="","",IFERROR(INDEX(Orders!$D:$D,MATCH($C95,Orders!$A:$A,0)),""))</f>
        <v/>
      </c>
      <c r="H95" s="5"/>
      <c r="I95" s="5"/>
      <c r="J95" s="5"/>
      <c r="K95" s="5"/>
      <c r="L95" s="5" t="str">
        <f t="shared" si="1"/>
        <v/>
      </c>
    </row>
    <row r="96" spans="1:12">
      <c r="A96" s="4"/>
      <c r="D96" t="str">
        <f>IF($C96="","",IFERROR(INDEX(Orders!$B:$B,MATCH($C96,Orders!$A:$A,0)),""))</f>
        <v/>
      </c>
      <c r="E96" t="str">
        <f>IF($C96="","",IFERROR(INDEX(Orders!$D:$D,MATCH($C96,Orders!$A:$A,0)),""))</f>
        <v/>
      </c>
      <c r="H96" s="5"/>
      <c r="I96" s="5"/>
      <c r="J96" s="5"/>
      <c r="K96" s="5"/>
      <c r="L96" s="5" t="str">
        <f t="shared" si="1"/>
        <v/>
      </c>
    </row>
    <row r="97" spans="1:12">
      <c r="A97" s="4"/>
      <c r="D97" t="str">
        <f>IF($C97="","",IFERROR(INDEX(Orders!$B:$B,MATCH($C97,Orders!$A:$A,0)),""))</f>
        <v/>
      </c>
      <c r="E97" t="str">
        <f>IF($C97="","",IFERROR(INDEX(Orders!$D:$D,MATCH($C97,Orders!$A:$A,0)),""))</f>
        <v/>
      </c>
      <c r="H97" s="5"/>
      <c r="I97" s="5"/>
      <c r="J97" s="5"/>
      <c r="K97" s="5"/>
      <c r="L97" s="5" t="str">
        <f t="shared" si="1"/>
        <v/>
      </c>
    </row>
    <row r="98" spans="1:12">
      <c r="A98" s="4"/>
      <c r="D98" t="str">
        <f>IF($C98="","",IFERROR(INDEX(Orders!$B:$B,MATCH($C98,Orders!$A:$A,0)),""))</f>
        <v/>
      </c>
      <c r="E98" t="str">
        <f>IF($C98="","",IFERROR(INDEX(Orders!$D:$D,MATCH($C98,Orders!$A:$A,0)),""))</f>
        <v/>
      </c>
      <c r="H98" s="5"/>
      <c r="I98" s="5"/>
      <c r="J98" s="5"/>
      <c r="K98" s="5"/>
      <c r="L98" s="5" t="str">
        <f t="shared" si="1"/>
        <v/>
      </c>
    </row>
    <row r="99" spans="1:12">
      <c r="A99" s="4"/>
      <c r="D99" t="str">
        <f>IF($C99="","",IFERROR(INDEX(Orders!$B:$B,MATCH($C99,Orders!$A:$A,0)),""))</f>
        <v/>
      </c>
      <c r="E99" t="str">
        <f>IF($C99="","",IFERROR(INDEX(Orders!$D:$D,MATCH($C99,Orders!$A:$A,0)),""))</f>
        <v/>
      </c>
      <c r="H99" s="5"/>
      <c r="I99" s="5"/>
      <c r="J99" s="5"/>
      <c r="K99" s="5"/>
      <c r="L99" s="5" t="str">
        <f t="shared" si="1"/>
        <v/>
      </c>
    </row>
    <row r="100" spans="1:12">
      <c r="A100" s="4"/>
      <c r="D100" t="str">
        <f>IF($C100="","",IFERROR(INDEX(Orders!$B:$B,MATCH($C100,Orders!$A:$A,0)),""))</f>
        <v/>
      </c>
      <c r="E100" t="str">
        <f>IF($C100="","",IFERROR(INDEX(Orders!$D:$D,MATCH($C100,Orders!$A:$A,0)),""))</f>
        <v/>
      </c>
      <c r="H100" s="5"/>
      <c r="I100" s="5"/>
      <c r="J100" s="5"/>
      <c r="K100" s="5"/>
      <c r="L100" s="5" t="str">
        <f t="shared" si="1"/>
        <v/>
      </c>
    </row>
    <row r="101" spans="1:12">
      <c r="A101" s="4"/>
      <c r="D101" t="str">
        <f>IF($C101="","",IFERROR(INDEX(Orders!$B:$B,MATCH($C101,Orders!$A:$A,0)),""))</f>
        <v/>
      </c>
      <c r="E101" t="str">
        <f>IF($C101="","",IFERROR(INDEX(Orders!$D:$D,MATCH($C101,Orders!$A:$A,0)),""))</f>
        <v/>
      </c>
      <c r="H101" s="5"/>
      <c r="I101" s="5"/>
      <c r="J101" s="5"/>
      <c r="K101" s="5"/>
      <c r="L101" s="5" t="str">
        <f t="shared" si="1"/>
        <v/>
      </c>
    </row>
    <row r="102" spans="1:12">
      <c r="A102" s="4"/>
      <c r="D102" t="str">
        <f>IF($C102="","",IFERROR(INDEX(Orders!$B:$B,MATCH($C102,Orders!$A:$A,0)),""))</f>
        <v/>
      </c>
      <c r="E102" t="str">
        <f>IF($C102="","",IFERROR(INDEX(Orders!$D:$D,MATCH($C102,Orders!$A:$A,0)),""))</f>
        <v/>
      </c>
      <c r="H102" s="5"/>
      <c r="I102" s="5"/>
      <c r="J102" s="5"/>
      <c r="K102" s="5"/>
      <c r="L102" s="5" t="str">
        <f t="shared" si="1"/>
        <v/>
      </c>
    </row>
    <row r="103" spans="1:12">
      <c r="A103" s="4"/>
      <c r="D103" t="str">
        <f>IF($C103="","",IFERROR(INDEX(Orders!$B:$B,MATCH($C103,Orders!$A:$A,0)),""))</f>
        <v/>
      </c>
      <c r="E103" t="str">
        <f>IF($C103="","",IFERROR(INDEX(Orders!$D:$D,MATCH($C103,Orders!$A:$A,0)),""))</f>
        <v/>
      </c>
      <c r="H103" s="5"/>
      <c r="I103" s="5"/>
      <c r="J103" s="5"/>
      <c r="K103" s="5"/>
      <c r="L103" s="5" t="str">
        <f t="shared" si="1"/>
        <v/>
      </c>
    </row>
    <row r="104" spans="1:12">
      <c r="A104" s="4"/>
      <c r="D104" t="str">
        <f>IF($C104="","",IFERROR(INDEX(Orders!$B:$B,MATCH($C104,Orders!$A:$A,0)),""))</f>
        <v/>
      </c>
      <c r="E104" t="str">
        <f>IF($C104="","",IFERROR(INDEX(Orders!$D:$D,MATCH($C104,Orders!$A:$A,0)),""))</f>
        <v/>
      </c>
      <c r="H104" s="5"/>
      <c r="I104" s="5"/>
      <c r="J104" s="5"/>
      <c r="K104" s="5"/>
      <c r="L104" s="5" t="str">
        <f t="shared" si="1"/>
        <v/>
      </c>
    </row>
    <row r="105" spans="1:12">
      <c r="A105" s="4"/>
      <c r="D105" t="str">
        <f>IF($C105="","",IFERROR(INDEX(Orders!$B:$B,MATCH($C105,Orders!$A:$A,0)),""))</f>
        <v/>
      </c>
      <c r="E105" t="str">
        <f>IF($C105="","",IFERROR(INDEX(Orders!$D:$D,MATCH($C105,Orders!$A:$A,0)),""))</f>
        <v/>
      </c>
      <c r="H105" s="5"/>
      <c r="I105" s="5"/>
      <c r="J105" s="5"/>
      <c r="K105" s="5"/>
      <c r="L105" s="5" t="str">
        <f t="shared" si="1"/>
        <v/>
      </c>
    </row>
    <row r="106" spans="1:12">
      <c r="A106" s="4"/>
      <c r="D106" t="str">
        <f>IF($C106="","",IFERROR(INDEX(Orders!$B:$B,MATCH($C106,Orders!$A:$A,0)),""))</f>
        <v/>
      </c>
      <c r="E106" t="str">
        <f>IF($C106="","",IFERROR(INDEX(Orders!$D:$D,MATCH($C106,Orders!$A:$A,0)),""))</f>
        <v/>
      </c>
      <c r="H106" s="5"/>
      <c r="I106" s="5"/>
      <c r="J106" s="5"/>
      <c r="K106" s="5"/>
      <c r="L106" s="5" t="str">
        <f t="shared" si="1"/>
        <v/>
      </c>
    </row>
    <row r="107" spans="1:12">
      <c r="A107" s="4"/>
      <c r="D107" t="str">
        <f>IF($C107="","",IFERROR(INDEX(Orders!$B:$B,MATCH($C107,Orders!$A:$A,0)),""))</f>
        <v/>
      </c>
      <c r="E107" t="str">
        <f>IF($C107="","",IFERROR(INDEX(Orders!$D:$D,MATCH($C107,Orders!$A:$A,0)),""))</f>
        <v/>
      </c>
      <c r="H107" s="5"/>
      <c r="I107" s="5"/>
      <c r="J107" s="5"/>
      <c r="K107" s="5"/>
      <c r="L107" s="5" t="str">
        <f t="shared" si="1"/>
        <v/>
      </c>
    </row>
    <row r="108" spans="1:12">
      <c r="A108" s="4"/>
      <c r="D108" t="str">
        <f>IF($C108="","",IFERROR(INDEX(Orders!$B:$B,MATCH($C108,Orders!$A:$A,0)),""))</f>
        <v/>
      </c>
      <c r="E108" t="str">
        <f>IF($C108="","",IFERROR(INDEX(Orders!$D:$D,MATCH($C108,Orders!$A:$A,0)),""))</f>
        <v/>
      </c>
      <c r="H108" s="5"/>
      <c r="I108" s="5"/>
      <c r="J108" s="5"/>
      <c r="K108" s="5"/>
      <c r="L108" s="5" t="str">
        <f t="shared" si="1"/>
        <v/>
      </c>
    </row>
    <row r="109" spans="1:12">
      <c r="A109" s="4"/>
      <c r="D109" t="str">
        <f>IF($C109="","",IFERROR(INDEX(Orders!$B:$B,MATCH($C109,Orders!$A:$A,0)),""))</f>
        <v/>
      </c>
      <c r="E109" t="str">
        <f>IF($C109="","",IFERROR(INDEX(Orders!$D:$D,MATCH($C109,Orders!$A:$A,0)),""))</f>
        <v/>
      </c>
      <c r="H109" s="5"/>
      <c r="I109" s="5"/>
      <c r="J109" s="5"/>
      <c r="K109" s="5"/>
      <c r="L109" s="5" t="str">
        <f t="shared" si="1"/>
        <v/>
      </c>
    </row>
    <row r="110" spans="1:12">
      <c r="A110" s="4"/>
      <c r="D110" t="str">
        <f>IF($C110="","",IFERROR(INDEX(Orders!$B:$B,MATCH($C110,Orders!$A:$A,0)),""))</f>
        <v/>
      </c>
      <c r="E110" t="str">
        <f>IF($C110="","",IFERROR(INDEX(Orders!$D:$D,MATCH($C110,Orders!$A:$A,0)),""))</f>
        <v/>
      </c>
      <c r="H110" s="5"/>
      <c r="I110" s="5"/>
      <c r="J110" s="5"/>
      <c r="K110" s="5"/>
      <c r="L110" s="5" t="str">
        <f t="shared" si="1"/>
        <v/>
      </c>
    </row>
    <row r="111" spans="1:12">
      <c r="A111" s="4"/>
      <c r="D111" t="str">
        <f>IF($C111="","",IFERROR(INDEX(Orders!$B:$B,MATCH($C111,Orders!$A:$A,0)),""))</f>
        <v/>
      </c>
      <c r="E111" t="str">
        <f>IF($C111="","",IFERROR(INDEX(Orders!$D:$D,MATCH($C111,Orders!$A:$A,0)),""))</f>
        <v/>
      </c>
      <c r="H111" s="5"/>
      <c r="I111" s="5"/>
      <c r="J111" s="5"/>
      <c r="K111" s="5"/>
      <c r="L111" s="5" t="str">
        <f t="shared" si="1"/>
        <v/>
      </c>
    </row>
    <row r="112" spans="1:12">
      <c r="A112" s="4"/>
      <c r="D112" t="str">
        <f>IF($C112="","",IFERROR(INDEX(Orders!$B:$B,MATCH($C112,Orders!$A:$A,0)),""))</f>
        <v/>
      </c>
      <c r="E112" t="str">
        <f>IF($C112="","",IFERROR(INDEX(Orders!$D:$D,MATCH($C112,Orders!$A:$A,0)),""))</f>
        <v/>
      </c>
      <c r="H112" s="5"/>
      <c r="I112" s="5"/>
      <c r="J112" s="5"/>
      <c r="K112" s="5"/>
      <c r="L112" s="5" t="str">
        <f t="shared" si="1"/>
        <v/>
      </c>
    </row>
    <row r="113" spans="1:12">
      <c r="A113" s="4"/>
      <c r="D113" t="str">
        <f>IF($C113="","",IFERROR(INDEX(Orders!$B:$B,MATCH($C113,Orders!$A:$A,0)),""))</f>
        <v/>
      </c>
      <c r="E113" t="str">
        <f>IF($C113="","",IFERROR(INDEX(Orders!$D:$D,MATCH($C113,Orders!$A:$A,0)),""))</f>
        <v/>
      </c>
      <c r="H113" s="5"/>
      <c r="I113" s="5"/>
      <c r="J113" s="5"/>
      <c r="K113" s="5"/>
      <c r="L113" s="5" t="str">
        <f t="shared" si="1"/>
        <v/>
      </c>
    </row>
    <row r="114" spans="1:12">
      <c r="A114" s="4"/>
      <c r="D114" t="str">
        <f>IF($C114="","",IFERROR(INDEX(Orders!$B:$B,MATCH($C114,Orders!$A:$A,0)),""))</f>
        <v/>
      </c>
      <c r="E114" t="str">
        <f>IF($C114="","",IFERROR(INDEX(Orders!$D:$D,MATCH($C114,Orders!$A:$A,0)),""))</f>
        <v/>
      </c>
      <c r="H114" s="5"/>
      <c r="I114" s="5"/>
      <c r="J114" s="5"/>
      <c r="K114" s="5"/>
      <c r="L114" s="5" t="str">
        <f t="shared" si="1"/>
        <v/>
      </c>
    </row>
    <row r="115" spans="1:12">
      <c r="A115" s="4"/>
      <c r="D115" t="str">
        <f>IF($C115="","",IFERROR(INDEX(Orders!$B:$B,MATCH($C115,Orders!$A:$A,0)),""))</f>
        <v/>
      </c>
      <c r="E115" t="str">
        <f>IF($C115="","",IFERROR(INDEX(Orders!$D:$D,MATCH($C115,Orders!$A:$A,0)),""))</f>
        <v/>
      </c>
      <c r="H115" s="5"/>
      <c r="I115" s="5"/>
      <c r="J115" s="5"/>
      <c r="K115" s="5"/>
      <c r="L115" s="5" t="str">
        <f t="shared" si="1"/>
        <v/>
      </c>
    </row>
    <row r="116" spans="1:12">
      <c r="A116" s="4"/>
      <c r="D116" t="str">
        <f>IF($C116="","",IFERROR(INDEX(Orders!$B:$B,MATCH($C116,Orders!$A:$A,0)),""))</f>
        <v/>
      </c>
      <c r="E116" t="str">
        <f>IF($C116="","",IFERROR(INDEX(Orders!$D:$D,MATCH($C116,Orders!$A:$A,0)),""))</f>
        <v/>
      </c>
      <c r="H116" s="5"/>
      <c r="I116" s="5"/>
      <c r="J116" s="5"/>
      <c r="K116" s="5"/>
      <c r="L116" s="5" t="str">
        <f t="shared" si="1"/>
        <v/>
      </c>
    </row>
    <row r="117" spans="1:12">
      <c r="A117" s="4"/>
      <c r="D117" t="str">
        <f>IF($C117="","",IFERROR(INDEX(Orders!$B:$B,MATCH($C117,Orders!$A:$A,0)),""))</f>
        <v/>
      </c>
      <c r="E117" t="str">
        <f>IF($C117="","",IFERROR(INDEX(Orders!$D:$D,MATCH($C117,Orders!$A:$A,0)),""))</f>
        <v/>
      </c>
      <c r="H117" s="5"/>
      <c r="I117" s="5"/>
      <c r="J117" s="5"/>
      <c r="K117" s="5"/>
      <c r="L117" s="5" t="str">
        <f t="shared" si="1"/>
        <v/>
      </c>
    </row>
    <row r="118" spans="1:12">
      <c r="A118" s="4"/>
      <c r="D118" t="str">
        <f>IF($C118="","",IFERROR(INDEX(Orders!$B:$B,MATCH($C118,Orders!$A:$A,0)),""))</f>
        <v/>
      </c>
      <c r="E118" t="str">
        <f>IF($C118="","",IFERROR(INDEX(Orders!$D:$D,MATCH($C118,Orders!$A:$A,0)),""))</f>
        <v/>
      </c>
      <c r="H118" s="5"/>
      <c r="I118" s="5"/>
      <c r="J118" s="5"/>
      <c r="K118" s="5"/>
      <c r="L118" s="5" t="str">
        <f t="shared" si="1"/>
        <v/>
      </c>
    </row>
    <row r="119" spans="1:12">
      <c r="A119" s="4"/>
      <c r="D119" t="str">
        <f>IF($C119="","",IFERROR(INDEX(Orders!$B:$B,MATCH($C119,Orders!$A:$A,0)),""))</f>
        <v/>
      </c>
      <c r="E119" t="str">
        <f>IF($C119="","",IFERROR(INDEX(Orders!$D:$D,MATCH($C119,Orders!$A:$A,0)),""))</f>
        <v/>
      </c>
      <c r="H119" s="5"/>
      <c r="I119" s="5"/>
      <c r="J119" s="5"/>
      <c r="K119" s="5"/>
      <c r="L119" s="5" t="str">
        <f t="shared" si="1"/>
        <v/>
      </c>
    </row>
    <row r="120" spans="1:12">
      <c r="A120" s="4"/>
      <c r="D120" t="str">
        <f>IF($C120="","",IFERROR(INDEX(Orders!$B:$B,MATCH($C120,Orders!$A:$A,0)),""))</f>
        <v/>
      </c>
      <c r="E120" t="str">
        <f>IF($C120="","",IFERROR(INDEX(Orders!$D:$D,MATCH($C120,Orders!$A:$A,0)),""))</f>
        <v/>
      </c>
      <c r="H120" s="5"/>
      <c r="I120" s="5"/>
      <c r="J120" s="5"/>
      <c r="K120" s="5"/>
      <c r="L120" s="5" t="str">
        <f t="shared" si="1"/>
        <v/>
      </c>
    </row>
    <row r="121" spans="1:12">
      <c r="A121" s="4"/>
      <c r="D121" t="str">
        <f>IF($C121="","",IFERROR(INDEX(Orders!$B:$B,MATCH($C121,Orders!$A:$A,0)),""))</f>
        <v/>
      </c>
      <c r="E121" t="str">
        <f>IF($C121="","",IFERROR(INDEX(Orders!$D:$D,MATCH($C121,Orders!$A:$A,0)),""))</f>
        <v/>
      </c>
      <c r="H121" s="5"/>
      <c r="I121" s="5"/>
      <c r="J121" s="5"/>
      <c r="K121" s="5"/>
      <c r="L121" s="5" t="str">
        <f t="shared" si="1"/>
        <v/>
      </c>
    </row>
    <row r="122" spans="1:12">
      <c r="A122" s="4"/>
      <c r="D122" t="str">
        <f>IF($C122="","",IFERROR(INDEX(Orders!$B:$B,MATCH($C122,Orders!$A:$A,0)),""))</f>
        <v/>
      </c>
      <c r="E122" t="str">
        <f>IF($C122="","",IFERROR(INDEX(Orders!$D:$D,MATCH($C122,Orders!$A:$A,0)),""))</f>
        <v/>
      </c>
      <c r="H122" s="5"/>
      <c r="I122" s="5"/>
      <c r="J122" s="5"/>
      <c r="K122" s="5"/>
      <c r="L122" s="5" t="str">
        <f t="shared" si="1"/>
        <v/>
      </c>
    </row>
    <row r="123" spans="1:12">
      <c r="A123" s="4"/>
      <c r="D123" t="str">
        <f>IF($C123="","",IFERROR(INDEX(Orders!$B:$B,MATCH($C123,Orders!$A:$A,0)),""))</f>
        <v/>
      </c>
      <c r="E123" t="str">
        <f>IF($C123="","",IFERROR(INDEX(Orders!$D:$D,MATCH($C123,Orders!$A:$A,0)),""))</f>
        <v/>
      </c>
      <c r="H123" s="5"/>
      <c r="I123" s="5"/>
      <c r="J123" s="5"/>
      <c r="K123" s="5"/>
      <c r="L123" s="5" t="str">
        <f t="shared" si="1"/>
        <v/>
      </c>
    </row>
    <row r="124" spans="1:12">
      <c r="A124" s="4"/>
      <c r="D124" t="str">
        <f>IF($C124="","",IFERROR(INDEX(Orders!$B:$B,MATCH($C124,Orders!$A:$A,0)),""))</f>
        <v/>
      </c>
      <c r="E124" t="str">
        <f>IF($C124="","",IFERROR(INDEX(Orders!$D:$D,MATCH($C124,Orders!$A:$A,0)),""))</f>
        <v/>
      </c>
      <c r="H124" s="5"/>
      <c r="I124" s="5"/>
      <c r="J124" s="5"/>
      <c r="K124" s="5"/>
      <c r="L124" s="5" t="str">
        <f t="shared" si="1"/>
        <v/>
      </c>
    </row>
    <row r="125" spans="1:12">
      <c r="A125" s="4"/>
      <c r="D125" t="str">
        <f>IF($C125="","",IFERROR(INDEX(Orders!$B:$B,MATCH($C125,Orders!$A:$A,0)),""))</f>
        <v/>
      </c>
      <c r="E125" t="str">
        <f>IF($C125="","",IFERROR(INDEX(Orders!$D:$D,MATCH($C125,Orders!$A:$A,0)),""))</f>
        <v/>
      </c>
      <c r="H125" s="5"/>
      <c r="I125" s="5"/>
      <c r="J125" s="5"/>
      <c r="K125" s="5"/>
      <c r="L125" s="5" t="str">
        <f t="shared" si="1"/>
        <v/>
      </c>
    </row>
    <row r="126" spans="1:12">
      <c r="A126" s="4"/>
      <c r="D126" t="str">
        <f>IF($C126="","",IFERROR(INDEX(Orders!$B:$B,MATCH($C126,Orders!$A:$A,0)),""))</f>
        <v/>
      </c>
      <c r="E126" t="str">
        <f>IF($C126="","",IFERROR(INDEX(Orders!$D:$D,MATCH($C126,Orders!$A:$A,0)),""))</f>
        <v/>
      </c>
      <c r="H126" s="5"/>
      <c r="I126" s="5"/>
      <c r="J126" s="5"/>
      <c r="K126" s="5"/>
      <c r="L126" s="5" t="str">
        <f t="shared" si="1"/>
        <v/>
      </c>
    </row>
    <row r="127" spans="1:12">
      <c r="A127" s="4"/>
      <c r="D127" t="str">
        <f>IF($C127="","",IFERROR(INDEX(Orders!$B:$B,MATCH($C127,Orders!$A:$A,0)),""))</f>
        <v/>
      </c>
      <c r="E127" t="str">
        <f>IF($C127="","",IFERROR(INDEX(Orders!$D:$D,MATCH($C127,Orders!$A:$A,0)),""))</f>
        <v/>
      </c>
      <c r="H127" s="5"/>
      <c r="I127" s="5"/>
      <c r="J127" s="5"/>
      <c r="K127" s="5"/>
      <c r="L127" s="5" t="str">
        <f t="shared" si="1"/>
        <v/>
      </c>
    </row>
    <row r="128" spans="1:12">
      <c r="A128" s="4"/>
      <c r="D128" t="str">
        <f>IF($C128="","",IFERROR(INDEX(Orders!$B:$B,MATCH($C128,Orders!$A:$A,0)),""))</f>
        <v/>
      </c>
      <c r="E128" t="str">
        <f>IF($C128="","",IFERROR(INDEX(Orders!$D:$D,MATCH($C128,Orders!$A:$A,0)),""))</f>
        <v/>
      </c>
      <c r="H128" s="5"/>
      <c r="I128" s="5"/>
      <c r="J128" s="5"/>
      <c r="K128" s="5"/>
      <c r="L128" s="5" t="str">
        <f t="shared" si="1"/>
        <v/>
      </c>
    </row>
    <row r="129" spans="1:12">
      <c r="A129" s="4"/>
      <c r="D129" t="str">
        <f>IF($C129="","",IFERROR(INDEX(Orders!$B:$B,MATCH($C129,Orders!$A:$A,0)),""))</f>
        <v/>
      </c>
      <c r="E129" t="str">
        <f>IF($C129="","",IFERROR(INDEX(Orders!$D:$D,MATCH($C129,Orders!$A:$A,0)),""))</f>
        <v/>
      </c>
      <c r="H129" s="5"/>
      <c r="I129" s="5"/>
      <c r="J129" s="5"/>
      <c r="K129" s="5"/>
      <c r="L129" s="5" t="str">
        <f t="shared" si="1"/>
        <v/>
      </c>
    </row>
    <row r="130" spans="1:12">
      <c r="A130" s="4"/>
      <c r="D130" t="str">
        <f>IF($C130="","",IFERROR(INDEX(Orders!$B:$B,MATCH($C130,Orders!$A:$A,0)),""))</f>
        <v/>
      </c>
      <c r="E130" t="str">
        <f>IF($C130="","",IFERROR(INDEX(Orders!$D:$D,MATCH($C130,Orders!$A:$A,0)),""))</f>
        <v/>
      </c>
      <c r="H130" s="5"/>
      <c r="I130" s="5"/>
      <c r="J130" s="5"/>
      <c r="K130" s="5"/>
      <c r="L130" s="5" t="str">
        <f t="shared" ref="L130:L193" si="2">IF($C130="","",$H130-$I130-$K130)</f>
        <v/>
      </c>
    </row>
    <row r="131" spans="1:12">
      <c r="A131" s="4"/>
      <c r="D131" t="str">
        <f>IF($C131="","",IFERROR(INDEX(Orders!$B:$B,MATCH($C131,Orders!$A:$A,0)),""))</f>
        <v/>
      </c>
      <c r="E131" t="str">
        <f>IF($C131="","",IFERROR(INDEX(Orders!$D:$D,MATCH($C131,Orders!$A:$A,0)),""))</f>
        <v/>
      </c>
      <c r="H131" s="5"/>
      <c r="I131" s="5"/>
      <c r="J131" s="5"/>
      <c r="K131" s="5"/>
      <c r="L131" s="5" t="str">
        <f t="shared" si="2"/>
        <v/>
      </c>
    </row>
    <row r="132" spans="1:12">
      <c r="A132" s="4"/>
      <c r="D132" t="str">
        <f>IF($C132="","",IFERROR(INDEX(Orders!$B:$B,MATCH($C132,Orders!$A:$A,0)),""))</f>
        <v/>
      </c>
      <c r="E132" t="str">
        <f>IF($C132="","",IFERROR(INDEX(Orders!$D:$D,MATCH($C132,Orders!$A:$A,0)),""))</f>
        <v/>
      </c>
      <c r="H132" s="5"/>
      <c r="I132" s="5"/>
      <c r="J132" s="5"/>
      <c r="K132" s="5"/>
      <c r="L132" s="5" t="str">
        <f t="shared" si="2"/>
        <v/>
      </c>
    </row>
    <row r="133" spans="1:12">
      <c r="A133" s="4"/>
      <c r="D133" t="str">
        <f>IF($C133="","",IFERROR(INDEX(Orders!$B:$B,MATCH($C133,Orders!$A:$A,0)),""))</f>
        <v/>
      </c>
      <c r="E133" t="str">
        <f>IF($C133="","",IFERROR(INDEX(Orders!$D:$D,MATCH($C133,Orders!$A:$A,0)),""))</f>
        <v/>
      </c>
      <c r="H133" s="5"/>
      <c r="I133" s="5"/>
      <c r="J133" s="5"/>
      <c r="K133" s="5"/>
      <c r="L133" s="5" t="str">
        <f t="shared" si="2"/>
        <v/>
      </c>
    </row>
    <row r="134" spans="1:12">
      <c r="A134" s="4"/>
      <c r="D134" t="str">
        <f>IF($C134="","",IFERROR(INDEX(Orders!$B:$B,MATCH($C134,Orders!$A:$A,0)),""))</f>
        <v/>
      </c>
      <c r="E134" t="str">
        <f>IF($C134="","",IFERROR(INDEX(Orders!$D:$D,MATCH($C134,Orders!$A:$A,0)),""))</f>
        <v/>
      </c>
      <c r="H134" s="5"/>
      <c r="I134" s="5"/>
      <c r="J134" s="5"/>
      <c r="K134" s="5"/>
      <c r="L134" s="5" t="str">
        <f t="shared" si="2"/>
        <v/>
      </c>
    </row>
    <row r="135" spans="1:12">
      <c r="A135" s="4"/>
      <c r="D135" t="str">
        <f>IF($C135="","",IFERROR(INDEX(Orders!$B:$B,MATCH($C135,Orders!$A:$A,0)),""))</f>
        <v/>
      </c>
      <c r="E135" t="str">
        <f>IF($C135="","",IFERROR(INDEX(Orders!$D:$D,MATCH($C135,Orders!$A:$A,0)),""))</f>
        <v/>
      </c>
      <c r="H135" s="5"/>
      <c r="I135" s="5"/>
      <c r="J135" s="5"/>
      <c r="K135" s="5"/>
      <c r="L135" s="5" t="str">
        <f t="shared" si="2"/>
        <v/>
      </c>
    </row>
    <row r="136" spans="1:12">
      <c r="A136" s="4"/>
      <c r="D136" t="str">
        <f>IF($C136="","",IFERROR(INDEX(Orders!$B:$B,MATCH($C136,Orders!$A:$A,0)),""))</f>
        <v/>
      </c>
      <c r="E136" t="str">
        <f>IF($C136="","",IFERROR(INDEX(Orders!$D:$D,MATCH($C136,Orders!$A:$A,0)),""))</f>
        <v/>
      </c>
      <c r="H136" s="5"/>
      <c r="I136" s="5"/>
      <c r="J136" s="5"/>
      <c r="K136" s="5"/>
      <c r="L136" s="5" t="str">
        <f t="shared" si="2"/>
        <v/>
      </c>
    </row>
    <row r="137" spans="1:12">
      <c r="A137" s="4"/>
      <c r="D137" t="str">
        <f>IF($C137="","",IFERROR(INDEX(Orders!$B:$B,MATCH($C137,Orders!$A:$A,0)),""))</f>
        <v/>
      </c>
      <c r="E137" t="str">
        <f>IF($C137="","",IFERROR(INDEX(Orders!$D:$D,MATCH($C137,Orders!$A:$A,0)),""))</f>
        <v/>
      </c>
      <c r="H137" s="5"/>
      <c r="I137" s="5"/>
      <c r="J137" s="5"/>
      <c r="K137" s="5"/>
      <c r="L137" s="5" t="str">
        <f t="shared" si="2"/>
        <v/>
      </c>
    </row>
    <row r="138" spans="1:12">
      <c r="A138" s="4"/>
      <c r="D138" t="str">
        <f>IF($C138="","",IFERROR(INDEX(Orders!$B:$B,MATCH($C138,Orders!$A:$A,0)),""))</f>
        <v/>
      </c>
      <c r="E138" t="str">
        <f>IF($C138="","",IFERROR(INDEX(Orders!$D:$D,MATCH($C138,Orders!$A:$A,0)),""))</f>
        <v/>
      </c>
      <c r="H138" s="5"/>
      <c r="I138" s="5"/>
      <c r="J138" s="5"/>
      <c r="K138" s="5"/>
      <c r="L138" s="5" t="str">
        <f t="shared" si="2"/>
        <v/>
      </c>
    </row>
    <row r="139" spans="1:12">
      <c r="A139" s="4"/>
      <c r="D139" t="str">
        <f>IF($C139="","",IFERROR(INDEX(Orders!$B:$B,MATCH($C139,Orders!$A:$A,0)),""))</f>
        <v/>
      </c>
      <c r="E139" t="str">
        <f>IF($C139="","",IFERROR(INDEX(Orders!$D:$D,MATCH($C139,Orders!$A:$A,0)),""))</f>
        <v/>
      </c>
      <c r="H139" s="5"/>
      <c r="I139" s="5"/>
      <c r="J139" s="5"/>
      <c r="K139" s="5"/>
      <c r="L139" s="5" t="str">
        <f t="shared" si="2"/>
        <v/>
      </c>
    </row>
    <row r="140" spans="1:12">
      <c r="A140" s="4"/>
      <c r="D140" t="str">
        <f>IF($C140="","",IFERROR(INDEX(Orders!$B:$B,MATCH($C140,Orders!$A:$A,0)),""))</f>
        <v/>
      </c>
      <c r="E140" t="str">
        <f>IF($C140="","",IFERROR(INDEX(Orders!$D:$D,MATCH($C140,Orders!$A:$A,0)),""))</f>
        <v/>
      </c>
      <c r="H140" s="5"/>
      <c r="I140" s="5"/>
      <c r="J140" s="5"/>
      <c r="K140" s="5"/>
      <c r="L140" s="5" t="str">
        <f t="shared" si="2"/>
        <v/>
      </c>
    </row>
    <row r="141" spans="1:12">
      <c r="A141" s="4"/>
      <c r="D141" t="str">
        <f>IF($C141="","",IFERROR(INDEX(Orders!$B:$B,MATCH($C141,Orders!$A:$A,0)),""))</f>
        <v/>
      </c>
      <c r="E141" t="str">
        <f>IF($C141="","",IFERROR(INDEX(Orders!$D:$D,MATCH($C141,Orders!$A:$A,0)),""))</f>
        <v/>
      </c>
      <c r="H141" s="5"/>
      <c r="I141" s="5"/>
      <c r="J141" s="5"/>
      <c r="K141" s="5"/>
      <c r="L141" s="5" t="str">
        <f t="shared" si="2"/>
        <v/>
      </c>
    </row>
    <row r="142" spans="1:12">
      <c r="A142" s="4"/>
      <c r="D142" t="str">
        <f>IF($C142="","",IFERROR(INDEX(Orders!$B:$B,MATCH($C142,Orders!$A:$A,0)),""))</f>
        <v/>
      </c>
      <c r="E142" t="str">
        <f>IF($C142="","",IFERROR(INDEX(Orders!$D:$D,MATCH($C142,Orders!$A:$A,0)),""))</f>
        <v/>
      </c>
      <c r="H142" s="5"/>
      <c r="I142" s="5"/>
      <c r="J142" s="5"/>
      <c r="K142" s="5"/>
      <c r="L142" s="5" t="str">
        <f t="shared" si="2"/>
        <v/>
      </c>
    </row>
    <row r="143" spans="1:12">
      <c r="A143" s="4"/>
      <c r="D143" t="str">
        <f>IF($C143="","",IFERROR(INDEX(Orders!$B:$B,MATCH($C143,Orders!$A:$A,0)),""))</f>
        <v/>
      </c>
      <c r="E143" t="str">
        <f>IF($C143="","",IFERROR(INDEX(Orders!$D:$D,MATCH($C143,Orders!$A:$A,0)),""))</f>
        <v/>
      </c>
      <c r="H143" s="5"/>
      <c r="I143" s="5"/>
      <c r="J143" s="5"/>
      <c r="K143" s="5"/>
      <c r="L143" s="5" t="str">
        <f t="shared" si="2"/>
        <v/>
      </c>
    </row>
    <row r="144" spans="1:12">
      <c r="A144" s="4"/>
      <c r="D144" t="str">
        <f>IF($C144="","",IFERROR(INDEX(Orders!$B:$B,MATCH($C144,Orders!$A:$A,0)),""))</f>
        <v/>
      </c>
      <c r="E144" t="str">
        <f>IF($C144="","",IFERROR(INDEX(Orders!$D:$D,MATCH($C144,Orders!$A:$A,0)),""))</f>
        <v/>
      </c>
      <c r="H144" s="5"/>
      <c r="I144" s="5"/>
      <c r="J144" s="5"/>
      <c r="K144" s="5"/>
      <c r="L144" s="5" t="str">
        <f t="shared" si="2"/>
        <v/>
      </c>
    </row>
    <row r="145" spans="1:12">
      <c r="A145" s="4"/>
      <c r="D145" t="str">
        <f>IF($C145="","",IFERROR(INDEX(Orders!$B:$B,MATCH($C145,Orders!$A:$A,0)),""))</f>
        <v/>
      </c>
      <c r="E145" t="str">
        <f>IF($C145="","",IFERROR(INDEX(Orders!$D:$D,MATCH($C145,Orders!$A:$A,0)),""))</f>
        <v/>
      </c>
      <c r="H145" s="5"/>
      <c r="I145" s="5"/>
      <c r="J145" s="5"/>
      <c r="K145" s="5"/>
      <c r="L145" s="5" t="str">
        <f t="shared" si="2"/>
        <v/>
      </c>
    </row>
    <row r="146" spans="1:12">
      <c r="A146" s="4"/>
      <c r="D146" t="str">
        <f>IF($C146="","",IFERROR(INDEX(Orders!$B:$B,MATCH($C146,Orders!$A:$A,0)),""))</f>
        <v/>
      </c>
      <c r="E146" t="str">
        <f>IF($C146="","",IFERROR(INDEX(Orders!$D:$D,MATCH($C146,Orders!$A:$A,0)),""))</f>
        <v/>
      </c>
      <c r="H146" s="5"/>
      <c r="I146" s="5"/>
      <c r="J146" s="5"/>
      <c r="K146" s="5"/>
      <c r="L146" s="5" t="str">
        <f t="shared" si="2"/>
        <v/>
      </c>
    </row>
    <row r="147" spans="1:12">
      <c r="A147" s="4"/>
      <c r="D147" t="str">
        <f>IF($C147="","",IFERROR(INDEX(Orders!$B:$B,MATCH($C147,Orders!$A:$A,0)),""))</f>
        <v/>
      </c>
      <c r="E147" t="str">
        <f>IF($C147="","",IFERROR(INDEX(Orders!$D:$D,MATCH($C147,Orders!$A:$A,0)),""))</f>
        <v/>
      </c>
      <c r="H147" s="5"/>
      <c r="I147" s="5"/>
      <c r="J147" s="5"/>
      <c r="K147" s="5"/>
      <c r="L147" s="5" t="str">
        <f t="shared" si="2"/>
        <v/>
      </c>
    </row>
    <row r="148" spans="1:12">
      <c r="A148" s="4"/>
      <c r="D148" t="str">
        <f>IF($C148="","",IFERROR(INDEX(Orders!$B:$B,MATCH($C148,Orders!$A:$A,0)),""))</f>
        <v/>
      </c>
      <c r="E148" t="str">
        <f>IF($C148="","",IFERROR(INDEX(Orders!$D:$D,MATCH($C148,Orders!$A:$A,0)),""))</f>
        <v/>
      </c>
      <c r="H148" s="5"/>
      <c r="I148" s="5"/>
      <c r="J148" s="5"/>
      <c r="K148" s="5"/>
      <c r="L148" s="5" t="str">
        <f t="shared" si="2"/>
        <v/>
      </c>
    </row>
    <row r="149" spans="1:12">
      <c r="A149" s="4"/>
      <c r="D149" t="str">
        <f>IF($C149="","",IFERROR(INDEX(Orders!$B:$B,MATCH($C149,Orders!$A:$A,0)),""))</f>
        <v/>
      </c>
      <c r="E149" t="str">
        <f>IF($C149="","",IFERROR(INDEX(Orders!$D:$D,MATCH($C149,Orders!$A:$A,0)),""))</f>
        <v/>
      </c>
      <c r="H149" s="5"/>
      <c r="I149" s="5"/>
      <c r="J149" s="5"/>
      <c r="K149" s="5"/>
      <c r="L149" s="5" t="str">
        <f t="shared" si="2"/>
        <v/>
      </c>
    </row>
    <row r="150" spans="1:12">
      <c r="A150" s="4"/>
      <c r="D150" t="str">
        <f>IF($C150="","",IFERROR(INDEX(Orders!$B:$B,MATCH($C150,Orders!$A:$A,0)),""))</f>
        <v/>
      </c>
      <c r="E150" t="str">
        <f>IF($C150="","",IFERROR(INDEX(Orders!$D:$D,MATCH($C150,Orders!$A:$A,0)),""))</f>
        <v/>
      </c>
      <c r="H150" s="5"/>
      <c r="I150" s="5"/>
      <c r="J150" s="5"/>
      <c r="K150" s="5"/>
      <c r="L150" s="5" t="str">
        <f t="shared" si="2"/>
        <v/>
      </c>
    </row>
    <row r="151" spans="1:12">
      <c r="A151" s="4"/>
      <c r="D151" t="str">
        <f>IF($C151="","",IFERROR(INDEX(Orders!$B:$B,MATCH($C151,Orders!$A:$A,0)),""))</f>
        <v/>
      </c>
      <c r="E151" t="str">
        <f>IF($C151="","",IFERROR(INDEX(Orders!$D:$D,MATCH($C151,Orders!$A:$A,0)),""))</f>
        <v/>
      </c>
      <c r="H151" s="5"/>
      <c r="I151" s="5"/>
      <c r="J151" s="5"/>
      <c r="K151" s="5"/>
      <c r="L151" s="5" t="str">
        <f t="shared" si="2"/>
        <v/>
      </c>
    </row>
    <row r="152" spans="1:12">
      <c r="A152" s="4"/>
      <c r="D152" t="str">
        <f>IF($C152="","",IFERROR(INDEX(Orders!$B:$B,MATCH($C152,Orders!$A:$A,0)),""))</f>
        <v/>
      </c>
      <c r="E152" t="str">
        <f>IF($C152="","",IFERROR(INDEX(Orders!$D:$D,MATCH($C152,Orders!$A:$A,0)),""))</f>
        <v/>
      </c>
      <c r="H152" s="5"/>
      <c r="I152" s="5"/>
      <c r="J152" s="5"/>
      <c r="K152" s="5"/>
      <c r="L152" s="5" t="str">
        <f t="shared" si="2"/>
        <v/>
      </c>
    </row>
    <row r="153" spans="1:12">
      <c r="A153" s="4"/>
      <c r="D153" t="str">
        <f>IF($C153="","",IFERROR(INDEX(Orders!$B:$B,MATCH($C153,Orders!$A:$A,0)),""))</f>
        <v/>
      </c>
      <c r="E153" t="str">
        <f>IF($C153="","",IFERROR(INDEX(Orders!$D:$D,MATCH($C153,Orders!$A:$A,0)),""))</f>
        <v/>
      </c>
      <c r="H153" s="5"/>
      <c r="I153" s="5"/>
      <c r="J153" s="5"/>
      <c r="K153" s="5"/>
      <c r="L153" s="5" t="str">
        <f t="shared" si="2"/>
        <v/>
      </c>
    </row>
    <row r="154" spans="1:12">
      <c r="A154" s="4"/>
      <c r="D154" t="str">
        <f>IF($C154="","",IFERROR(INDEX(Orders!$B:$B,MATCH($C154,Orders!$A:$A,0)),""))</f>
        <v/>
      </c>
      <c r="E154" t="str">
        <f>IF($C154="","",IFERROR(INDEX(Orders!$D:$D,MATCH($C154,Orders!$A:$A,0)),""))</f>
        <v/>
      </c>
      <c r="H154" s="5"/>
      <c r="I154" s="5"/>
      <c r="J154" s="5"/>
      <c r="K154" s="5"/>
      <c r="L154" s="5" t="str">
        <f t="shared" si="2"/>
        <v/>
      </c>
    </row>
    <row r="155" spans="1:12">
      <c r="A155" s="4"/>
      <c r="D155" t="str">
        <f>IF($C155="","",IFERROR(INDEX(Orders!$B:$B,MATCH($C155,Orders!$A:$A,0)),""))</f>
        <v/>
      </c>
      <c r="E155" t="str">
        <f>IF($C155="","",IFERROR(INDEX(Orders!$D:$D,MATCH($C155,Orders!$A:$A,0)),""))</f>
        <v/>
      </c>
      <c r="H155" s="5"/>
      <c r="I155" s="5"/>
      <c r="J155" s="5"/>
      <c r="K155" s="5"/>
      <c r="L155" s="5" t="str">
        <f t="shared" si="2"/>
        <v/>
      </c>
    </row>
    <row r="156" spans="1:12">
      <c r="A156" s="4"/>
      <c r="D156" t="str">
        <f>IF($C156="","",IFERROR(INDEX(Orders!$B:$B,MATCH($C156,Orders!$A:$A,0)),""))</f>
        <v/>
      </c>
      <c r="E156" t="str">
        <f>IF($C156="","",IFERROR(INDEX(Orders!$D:$D,MATCH($C156,Orders!$A:$A,0)),""))</f>
        <v/>
      </c>
      <c r="H156" s="5"/>
      <c r="I156" s="5"/>
      <c r="J156" s="5"/>
      <c r="K156" s="5"/>
      <c r="L156" s="5" t="str">
        <f t="shared" si="2"/>
        <v/>
      </c>
    </row>
    <row r="157" spans="1:12">
      <c r="A157" s="4"/>
      <c r="D157" t="str">
        <f>IF($C157="","",IFERROR(INDEX(Orders!$B:$B,MATCH($C157,Orders!$A:$A,0)),""))</f>
        <v/>
      </c>
      <c r="E157" t="str">
        <f>IF($C157="","",IFERROR(INDEX(Orders!$D:$D,MATCH($C157,Orders!$A:$A,0)),""))</f>
        <v/>
      </c>
      <c r="H157" s="5"/>
      <c r="I157" s="5"/>
      <c r="J157" s="5"/>
      <c r="K157" s="5"/>
      <c r="L157" s="5" t="str">
        <f t="shared" si="2"/>
        <v/>
      </c>
    </row>
    <row r="158" spans="1:12">
      <c r="A158" s="4"/>
      <c r="D158" t="str">
        <f>IF($C158="","",IFERROR(INDEX(Orders!$B:$B,MATCH($C158,Orders!$A:$A,0)),""))</f>
        <v/>
      </c>
      <c r="E158" t="str">
        <f>IF($C158="","",IFERROR(INDEX(Orders!$D:$D,MATCH($C158,Orders!$A:$A,0)),""))</f>
        <v/>
      </c>
      <c r="H158" s="5"/>
      <c r="I158" s="5"/>
      <c r="J158" s="5"/>
      <c r="K158" s="5"/>
      <c r="L158" s="5" t="str">
        <f t="shared" si="2"/>
        <v/>
      </c>
    </row>
    <row r="159" spans="1:12">
      <c r="A159" s="4"/>
      <c r="D159" t="str">
        <f>IF($C159="","",IFERROR(INDEX(Orders!$B:$B,MATCH($C159,Orders!$A:$A,0)),""))</f>
        <v/>
      </c>
      <c r="E159" t="str">
        <f>IF($C159="","",IFERROR(INDEX(Orders!$D:$D,MATCH($C159,Orders!$A:$A,0)),""))</f>
        <v/>
      </c>
      <c r="H159" s="5"/>
      <c r="I159" s="5"/>
      <c r="J159" s="5"/>
      <c r="K159" s="5"/>
      <c r="L159" s="5" t="str">
        <f t="shared" si="2"/>
        <v/>
      </c>
    </row>
    <row r="160" spans="1:12">
      <c r="A160" s="4"/>
      <c r="D160" t="str">
        <f>IF($C160="","",IFERROR(INDEX(Orders!$B:$B,MATCH($C160,Orders!$A:$A,0)),""))</f>
        <v/>
      </c>
      <c r="E160" t="str">
        <f>IF($C160="","",IFERROR(INDEX(Orders!$D:$D,MATCH($C160,Orders!$A:$A,0)),""))</f>
        <v/>
      </c>
      <c r="H160" s="5"/>
      <c r="I160" s="5"/>
      <c r="J160" s="5"/>
      <c r="K160" s="5"/>
      <c r="L160" s="5" t="str">
        <f t="shared" si="2"/>
        <v/>
      </c>
    </row>
    <row r="161" spans="1:12">
      <c r="A161" s="4"/>
      <c r="D161" t="str">
        <f>IF($C161="","",IFERROR(INDEX(Orders!$B:$B,MATCH($C161,Orders!$A:$A,0)),""))</f>
        <v/>
      </c>
      <c r="E161" t="str">
        <f>IF($C161="","",IFERROR(INDEX(Orders!$D:$D,MATCH($C161,Orders!$A:$A,0)),""))</f>
        <v/>
      </c>
      <c r="H161" s="5"/>
      <c r="I161" s="5"/>
      <c r="J161" s="5"/>
      <c r="K161" s="5"/>
      <c r="L161" s="5" t="str">
        <f t="shared" si="2"/>
        <v/>
      </c>
    </row>
    <row r="162" spans="1:12">
      <c r="A162" s="4"/>
      <c r="D162" t="str">
        <f>IF($C162="","",IFERROR(INDEX(Orders!$B:$B,MATCH($C162,Orders!$A:$A,0)),""))</f>
        <v/>
      </c>
      <c r="E162" t="str">
        <f>IF($C162="","",IFERROR(INDEX(Orders!$D:$D,MATCH($C162,Orders!$A:$A,0)),""))</f>
        <v/>
      </c>
      <c r="H162" s="5"/>
      <c r="I162" s="5"/>
      <c r="J162" s="5"/>
      <c r="K162" s="5"/>
      <c r="L162" s="5" t="str">
        <f t="shared" si="2"/>
        <v/>
      </c>
    </row>
    <row r="163" spans="1:12">
      <c r="A163" s="4"/>
      <c r="D163" t="str">
        <f>IF($C163="","",IFERROR(INDEX(Orders!$B:$B,MATCH($C163,Orders!$A:$A,0)),""))</f>
        <v/>
      </c>
      <c r="E163" t="str">
        <f>IF($C163="","",IFERROR(INDEX(Orders!$D:$D,MATCH($C163,Orders!$A:$A,0)),""))</f>
        <v/>
      </c>
      <c r="H163" s="5"/>
      <c r="I163" s="5"/>
      <c r="J163" s="5"/>
      <c r="K163" s="5"/>
      <c r="L163" s="5" t="str">
        <f t="shared" si="2"/>
        <v/>
      </c>
    </row>
    <row r="164" spans="1:12">
      <c r="A164" s="4"/>
      <c r="D164" t="str">
        <f>IF($C164="","",IFERROR(INDEX(Orders!$B:$B,MATCH($C164,Orders!$A:$A,0)),""))</f>
        <v/>
      </c>
      <c r="E164" t="str">
        <f>IF($C164="","",IFERROR(INDEX(Orders!$D:$D,MATCH($C164,Orders!$A:$A,0)),""))</f>
        <v/>
      </c>
      <c r="H164" s="5"/>
      <c r="I164" s="5"/>
      <c r="J164" s="5"/>
      <c r="K164" s="5"/>
      <c r="L164" s="5" t="str">
        <f t="shared" si="2"/>
        <v/>
      </c>
    </row>
    <row r="165" spans="1:12">
      <c r="A165" s="4"/>
      <c r="D165" t="str">
        <f>IF($C165="","",IFERROR(INDEX(Orders!$B:$B,MATCH($C165,Orders!$A:$A,0)),""))</f>
        <v/>
      </c>
      <c r="E165" t="str">
        <f>IF($C165="","",IFERROR(INDEX(Orders!$D:$D,MATCH($C165,Orders!$A:$A,0)),""))</f>
        <v/>
      </c>
      <c r="H165" s="5"/>
      <c r="I165" s="5"/>
      <c r="J165" s="5"/>
      <c r="K165" s="5"/>
      <c r="L165" s="5" t="str">
        <f t="shared" si="2"/>
        <v/>
      </c>
    </row>
    <row r="166" spans="1:12">
      <c r="A166" s="4"/>
      <c r="D166" t="str">
        <f>IF($C166="","",IFERROR(INDEX(Orders!$B:$B,MATCH($C166,Orders!$A:$A,0)),""))</f>
        <v/>
      </c>
      <c r="E166" t="str">
        <f>IF($C166="","",IFERROR(INDEX(Orders!$D:$D,MATCH($C166,Orders!$A:$A,0)),""))</f>
        <v/>
      </c>
      <c r="H166" s="5"/>
      <c r="I166" s="5"/>
      <c r="J166" s="5"/>
      <c r="K166" s="5"/>
      <c r="L166" s="5" t="str">
        <f t="shared" si="2"/>
        <v/>
      </c>
    </row>
    <row r="167" spans="1:12">
      <c r="A167" s="4"/>
      <c r="D167" t="str">
        <f>IF($C167="","",IFERROR(INDEX(Orders!$B:$B,MATCH($C167,Orders!$A:$A,0)),""))</f>
        <v/>
      </c>
      <c r="E167" t="str">
        <f>IF($C167="","",IFERROR(INDEX(Orders!$D:$D,MATCH($C167,Orders!$A:$A,0)),""))</f>
        <v/>
      </c>
      <c r="H167" s="5"/>
      <c r="I167" s="5"/>
      <c r="J167" s="5"/>
      <c r="K167" s="5"/>
      <c r="L167" s="5" t="str">
        <f t="shared" si="2"/>
        <v/>
      </c>
    </row>
    <row r="168" spans="1:12">
      <c r="A168" s="4"/>
      <c r="D168" t="str">
        <f>IF($C168="","",IFERROR(INDEX(Orders!$B:$B,MATCH($C168,Orders!$A:$A,0)),""))</f>
        <v/>
      </c>
      <c r="E168" t="str">
        <f>IF($C168="","",IFERROR(INDEX(Orders!$D:$D,MATCH($C168,Orders!$A:$A,0)),""))</f>
        <v/>
      </c>
      <c r="H168" s="5"/>
      <c r="I168" s="5"/>
      <c r="J168" s="5"/>
      <c r="K168" s="5"/>
      <c r="L168" s="5" t="str">
        <f t="shared" si="2"/>
        <v/>
      </c>
    </row>
    <row r="169" spans="1:12">
      <c r="A169" s="4"/>
      <c r="D169" t="str">
        <f>IF($C169="","",IFERROR(INDEX(Orders!$B:$B,MATCH($C169,Orders!$A:$A,0)),""))</f>
        <v/>
      </c>
      <c r="E169" t="str">
        <f>IF($C169="","",IFERROR(INDEX(Orders!$D:$D,MATCH($C169,Orders!$A:$A,0)),""))</f>
        <v/>
      </c>
      <c r="H169" s="5"/>
      <c r="I169" s="5"/>
      <c r="J169" s="5"/>
      <c r="K169" s="5"/>
      <c r="L169" s="5" t="str">
        <f t="shared" si="2"/>
        <v/>
      </c>
    </row>
    <row r="170" spans="1:12">
      <c r="A170" s="4"/>
      <c r="D170" t="str">
        <f>IF($C170="","",IFERROR(INDEX(Orders!$B:$B,MATCH($C170,Orders!$A:$A,0)),""))</f>
        <v/>
      </c>
      <c r="E170" t="str">
        <f>IF($C170="","",IFERROR(INDEX(Orders!$D:$D,MATCH($C170,Orders!$A:$A,0)),""))</f>
        <v/>
      </c>
      <c r="H170" s="5"/>
      <c r="I170" s="5"/>
      <c r="J170" s="5"/>
      <c r="K170" s="5"/>
      <c r="L170" s="5" t="str">
        <f t="shared" si="2"/>
        <v/>
      </c>
    </row>
    <row r="171" spans="1:12">
      <c r="A171" s="4"/>
      <c r="D171" t="str">
        <f>IF($C171="","",IFERROR(INDEX(Orders!$B:$B,MATCH($C171,Orders!$A:$A,0)),""))</f>
        <v/>
      </c>
      <c r="E171" t="str">
        <f>IF($C171="","",IFERROR(INDEX(Orders!$D:$D,MATCH($C171,Orders!$A:$A,0)),""))</f>
        <v/>
      </c>
      <c r="H171" s="5"/>
      <c r="I171" s="5"/>
      <c r="J171" s="5"/>
      <c r="K171" s="5"/>
      <c r="L171" s="5" t="str">
        <f t="shared" si="2"/>
        <v/>
      </c>
    </row>
    <row r="172" spans="1:12">
      <c r="A172" s="4"/>
      <c r="D172" t="str">
        <f>IF($C172="","",IFERROR(INDEX(Orders!$B:$B,MATCH($C172,Orders!$A:$A,0)),""))</f>
        <v/>
      </c>
      <c r="E172" t="str">
        <f>IF($C172="","",IFERROR(INDEX(Orders!$D:$D,MATCH($C172,Orders!$A:$A,0)),""))</f>
        <v/>
      </c>
      <c r="H172" s="5"/>
      <c r="I172" s="5"/>
      <c r="J172" s="5"/>
      <c r="K172" s="5"/>
      <c r="L172" s="5" t="str">
        <f t="shared" si="2"/>
        <v/>
      </c>
    </row>
    <row r="173" spans="1:12">
      <c r="A173" s="4"/>
      <c r="D173" t="str">
        <f>IF($C173="","",IFERROR(INDEX(Orders!$B:$B,MATCH($C173,Orders!$A:$A,0)),""))</f>
        <v/>
      </c>
      <c r="E173" t="str">
        <f>IF($C173="","",IFERROR(INDEX(Orders!$D:$D,MATCH($C173,Orders!$A:$A,0)),""))</f>
        <v/>
      </c>
      <c r="H173" s="5"/>
      <c r="I173" s="5"/>
      <c r="J173" s="5"/>
      <c r="K173" s="5"/>
      <c r="L173" s="5" t="str">
        <f t="shared" si="2"/>
        <v/>
      </c>
    </row>
    <row r="174" spans="1:12">
      <c r="A174" s="4"/>
      <c r="D174" t="str">
        <f>IF($C174="","",IFERROR(INDEX(Orders!$B:$B,MATCH($C174,Orders!$A:$A,0)),""))</f>
        <v/>
      </c>
      <c r="E174" t="str">
        <f>IF($C174="","",IFERROR(INDEX(Orders!$D:$D,MATCH($C174,Orders!$A:$A,0)),""))</f>
        <v/>
      </c>
      <c r="H174" s="5"/>
      <c r="I174" s="5"/>
      <c r="J174" s="5"/>
      <c r="K174" s="5"/>
      <c r="L174" s="5" t="str">
        <f t="shared" si="2"/>
        <v/>
      </c>
    </row>
    <row r="175" spans="1:12">
      <c r="A175" s="4"/>
      <c r="D175" t="str">
        <f>IF($C175="","",IFERROR(INDEX(Orders!$B:$B,MATCH($C175,Orders!$A:$A,0)),""))</f>
        <v/>
      </c>
      <c r="E175" t="str">
        <f>IF($C175="","",IFERROR(INDEX(Orders!$D:$D,MATCH($C175,Orders!$A:$A,0)),""))</f>
        <v/>
      </c>
      <c r="H175" s="5"/>
      <c r="I175" s="5"/>
      <c r="J175" s="5"/>
      <c r="K175" s="5"/>
      <c r="L175" s="5" t="str">
        <f t="shared" si="2"/>
        <v/>
      </c>
    </row>
    <row r="176" spans="1:12">
      <c r="A176" s="4"/>
      <c r="D176" t="str">
        <f>IF($C176="","",IFERROR(INDEX(Orders!$B:$B,MATCH($C176,Orders!$A:$A,0)),""))</f>
        <v/>
      </c>
      <c r="E176" t="str">
        <f>IF($C176="","",IFERROR(INDEX(Orders!$D:$D,MATCH($C176,Orders!$A:$A,0)),""))</f>
        <v/>
      </c>
      <c r="H176" s="5"/>
      <c r="I176" s="5"/>
      <c r="J176" s="5"/>
      <c r="K176" s="5"/>
      <c r="L176" s="5" t="str">
        <f t="shared" si="2"/>
        <v/>
      </c>
    </row>
    <row r="177" spans="1:12">
      <c r="A177" s="4"/>
      <c r="D177" t="str">
        <f>IF($C177="","",IFERROR(INDEX(Orders!$B:$B,MATCH($C177,Orders!$A:$A,0)),""))</f>
        <v/>
      </c>
      <c r="E177" t="str">
        <f>IF($C177="","",IFERROR(INDEX(Orders!$D:$D,MATCH($C177,Orders!$A:$A,0)),""))</f>
        <v/>
      </c>
      <c r="H177" s="5"/>
      <c r="I177" s="5"/>
      <c r="J177" s="5"/>
      <c r="K177" s="5"/>
      <c r="L177" s="5" t="str">
        <f t="shared" si="2"/>
        <v/>
      </c>
    </row>
    <row r="178" spans="1:12">
      <c r="A178" s="4"/>
      <c r="D178" t="str">
        <f>IF($C178="","",IFERROR(INDEX(Orders!$B:$B,MATCH($C178,Orders!$A:$A,0)),""))</f>
        <v/>
      </c>
      <c r="E178" t="str">
        <f>IF($C178="","",IFERROR(INDEX(Orders!$D:$D,MATCH($C178,Orders!$A:$A,0)),""))</f>
        <v/>
      </c>
      <c r="H178" s="5"/>
      <c r="I178" s="5"/>
      <c r="J178" s="5"/>
      <c r="K178" s="5"/>
      <c r="L178" s="5" t="str">
        <f t="shared" si="2"/>
        <v/>
      </c>
    </row>
    <row r="179" spans="1:12">
      <c r="A179" s="4"/>
      <c r="D179" t="str">
        <f>IF($C179="","",IFERROR(INDEX(Orders!$B:$B,MATCH($C179,Orders!$A:$A,0)),""))</f>
        <v/>
      </c>
      <c r="E179" t="str">
        <f>IF($C179="","",IFERROR(INDEX(Orders!$D:$D,MATCH($C179,Orders!$A:$A,0)),""))</f>
        <v/>
      </c>
      <c r="H179" s="5"/>
      <c r="I179" s="5"/>
      <c r="J179" s="5"/>
      <c r="K179" s="5"/>
      <c r="L179" s="5" t="str">
        <f t="shared" si="2"/>
        <v/>
      </c>
    </row>
    <row r="180" spans="1:12">
      <c r="A180" s="4"/>
      <c r="D180" t="str">
        <f>IF($C180="","",IFERROR(INDEX(Orders!$B:$B,MATCH($C180,Orders!$A:$A,0)),""))</f>
        <v/>
      </c>
      <c r="E180" t="str">
        <f>IF($C180="","",IFERROR(INDEX(Orders!$D:$D,MATCH($C180,Orders!$A:$A,0)),""))</f>
        <v/>
      </c>
      <c r="H180" s="5"/>
      <c r="I180" s="5"/>
      <c r="J180" s="5"/>
      <c r="K180" s="5"/>
      <c r="L180" s="5" t="str">
        <f t="shared" si="2"/>
        <v/>
      </c>
    </row>
    <row r="181" spans="1:12">
      <c r="A181" s="4"/>
      <c r="D181" t="str">
        <f>IF($C181="","",IFERROR(INDEX(Orders!$B:$B,MATCH($C181,Orders!$A:$A,0)),""))</f>
        <v/>
      </c>
      <c r="E181" t="str">
        <f>IF($C181="","",IFERROR(INDEX(Orders!$D:$D,MATCH($C181,Orders!$A:$A,0)),""))</f>
        <v/>
      </c>
      <c r="H181" s="5"/>
      <c r="I181" s="5"/>
      <c r="J181" s="5"/>
      <c r="K181" s="5"/>
      <c r="L181" s="5" t="str">
        <f t="shared" si="2"/>
        <v/>
      </c>
    </row>
    <row r="182" spans="1:12">
      <c r="A182" s="4"/>
      <c r="D182" t="str">
        <f>IF($C182="","",IFERROR(INDEX(Orders!$B:$B,MATCH($C182,Orders!$A:$A,0)),""))</f>
        <v/>
      </c>
      <c r="E182" t="str">
        <f>IF($C182="","",IFERROR(INDEX(Orders!$D:$D,MATCH($C182,Orders!$A:$A,0)),""))</f>
        <v/>
      </c>
      <c r="H182" s="5"/>
      <c r="I182" s="5"/>
      <c r="J182" s="5"/>
      <c r="K182" s="5"/>
      <c r="L182" s="5" t="str">
        <f t="shared" si="2"/>
        <v/>
      </c>
    </row>
    <row r="183" spans="1:12">
      <c r="A183" s="4"/>
      <c r="D183" t="str">
        <f>IF($C183="","",IFERROR(INDEX(Orders!$B:$B,MATCH($C183,Orders!$A:$A,0)),""))</f>
        <v/>
      </c>
      <c r="E183" t="str">
        <f>IF($C183="","",IFERROR(INDEX(Orders!$D:$D,MATCH($C183,Orders!$A:$A,0)),""))</f>
        <v/>
      </c>
      <c r="H183" s="5"/>
      <c r="I183" s="5"/>
      <c r="J183" s="5"/>
      <c r="K183" s="5"/>
      <c r="L183" s="5" t="str">
        <f t="shared" si="2"/>
        <v/>
      </c>
    </row>
    <row r="184" spans="1:12">
      <c r="A184" s="4"/>
      <c r="D184" t="str">
        <f>IF($C184="","",IFERROR(INDEX(Orders!$B:$B,MATCH($C184,Orders!$A:$A,0)),""))</f>
        <v/>
      </c>
      <c r="E184" t="str">
        <f>IF($C184="","",IFERROR(INDEX(Orders!$D:$D,MATCH($C184,Orders!$A:$A,0)),""))</f>
        <v/>
      </c>
      <c r="H184" s="5"/>
      <c r="I184" s="5"/>
      <c r="J184" s="5"/>
      <c r="K184" s="5"/>
      <c r="L184" s="5" t="str">
        <f t="shared" si="2"/>
        <v/>
      </c>
    </row>
    <row r="185" spans="1:12">
      <c r="A185" s="4"/>
      <c r="D185" t="str">
        <f>IF($C185="","",IFERROR(INDEX(Orders!$B:$B,MATCH($C185,Orders!$A:$A,0)),""))</f>
        <v/>
      </c>
      <c r="E185" t="str">
        <f>IF($C185="","",IFERROR(INDEX(Orders!$D:$D,MATCH($C185,Orders!$A:$A,0)),""))</f>
        <v/>
      </c>
      <c r="H185" s="5"/>
      <c r="I185" s="5"/>
      <c r="J185" s="5"/>
      <c r="K185" s="5"/>
      <c r="L185" s="5" t="str">
        <f t="shared" si="2"/>
        <v/>
      </c>
    </row>
    <row r="186" spans="1:12">
      <c r="A186" s="4"/>
      <c r="D186" t="str">
        <f>IF($C186="","",IFERROR(INDEX(Orders!$B:$B,MATCH($C186,Orders!$A:$A,0)),""))</f>
        <v/>
      </c>
      <c r="E186" t="str">
        <f>IF($C186="","",IFERROR(INDEX(Orders!$D:$D,MATCH($C186,Orders!$A:$A,0)),""))</f>
        <v/>
      </c>
      <c r="H186" s="5"/>
      <c r="I186" s="5"/>
      <c r="J186" s="5"/>
      <c r="K186" s="5"/>
      <c r="L186" s="5" t="str">
        <f t="shared" si="2"/>
        <v/>
      </c>
    </row>
    <row r="187" spans="1:12">
      <c r="A187" s="4"/>
      <c r="D187" t="str">
        <f>IF($C187="","",IFERROR(INDEX(Orders!$B:$B,MATCH($C187,Orders!$A:$A,0)),""))</f>
        <v/>
      </c>
      <c r="E187" t="str">
        <f>IF($C187="","",IFERROR(INDEX(Orders!$D:$D,MATCH($C187,Orders!$A:$A,0)),""))</f>
        <v/>
      </c>
      <c r="H187" s="5"/>
      <c r="I187" s="5"/>
      <c r="J187" s="5"/>
      <c r="K187" s="5"/>
      <c r="L187" s="5" t="str">
        <f t="shared" si="2"/>
        <v/>
      </c>
    </row>
    <row r="188" spans="1:12">
      <c r="A188" s="4"/>
      <c r="D188" t="str">
        <f>IF($C188="","",IFERROR(INDEX(Orders!$B:$B,MATCH($C188,Orders!$A:$A,0)),""))</f>
        <v/>
      </c>
      <c r="E188" t="str">
        <f>IF($C188="","",IFERROR(INDEX(Orders!$D:$D,MATCH($C188,Orders!$A:$A,0)),""))</f>
        <v/>
      </c>
      <c r="H188" s="5"/>
      <c r="I188" s="5"/>
      <c r="J188" s="5"/>
      <c r="K188" s="5"/>
      <c r="L188" s="5" t="str">
        <f t="shared" si="2"/>
        <v/>
      </c>
    </row>
    <row r="189" spans="1:12">
      <c r="A189" s="4"/>
      <c r="D189" t="str">
        <f>IF($C189="","",IFERROR(INDEX(Orders!$B:$B,MATCH($C189,Orders!$A:$A,0)),""))</f>
        <v/>
      </c>
      <c r="E189" t="str">
        <f>IF($C189="","",IFERROR(INDEX(Orders!$D:$D,MATCH($C189,Orders!$A:$A,0)),""))</f>
        <v/>
      </c>
      <c r="H189" s="5"/>
      <c r="I189" s="5"/>
      <c r="J189" s="5"/>
      <c r="K189" s="5"/>
      <c r="L189" s="5" t="str">
        <f t="shared" si="2"/>
        <v/>
      </c>
    </row>
    <row r="190" spans="1:12">
      <c r="A190" s="4"/>
      <c r="D190" t="str">
        <f>IF($C190="","",IFERROR(INDEX(Orders!$B:$B,MATCH($C190,Orders!$A:$A,0)),""))</f>
        <v/>
      </c>
      <c r="E190" t="str">
        <f>IF($C190="","",IFERROR(INDEX(Orders!$D:$D,MATCH($C190,Orders!$A:$A,0)),""))</f>
        <v/>
      </c>
      <c r="H190" s="5"/>
      <c r="I190" s="5"/>
      <c r="J190" s="5"/>
      <c r="K190" s="5"/>
      <c r="L190" s="5" t="str">
        <f t="shared" si="2"/>
        <v/>
      </c>
    </row>
    <row r="191" spans="1:12">
      <c r="A191" s="4"/>
      <c r="D191" t="str">
        <f>IF($C191="","",IFERROR(INDEX(Orders!$B:$B,MATCH($C191,Orders!$A:$A,0)),""))</f>
        <v/>
      </c>
      <c r="E191" t="str">
        <f>IF($C191="","",IFERROR(INDEX(Orders!$D:$D,MATCH($C191,Orders!$A:$A,0)),""))</f>
        <v/>
      </c>
      <c r="H191" s="5"/>
      <c r="I191" s="5"/>
      <c r="J191" s="5"/>
      <c r="K191" s="5"/>
      <c r="L191" s="5" t="str">
        <f t="shared" si="2"/>
        <v/>
      </c>
    </row>
    <row r="192" spans="1:12">
      <c r="A192" s="4"/>
      <c r="D192" t="str">
        <f>IF($C192="","",IFERROR(INDEX(Orders!$B:$B,MATCH($C192,Orders!$A:$A,0)),""))</f>
        <v/>
      </c>
      <c r="E192" t="str">
        <f>IF($C192="","",IFERROR(INDEX(Orders!$D:$D,MATCH($C192,Orders!$A:$A,0)),""))</f>
        <v/>
      </c>
      <c r="H192" s="5"/>
      <c r="I192" s="5"/>
      <c r="J192" s="5"/>
      <c r="K192" s="5"/>
      <c r="L192" s="5" t="str">
        <f t="shared" si="2"/>
        <v/>
      </c>
    </row>
    <row r="193" spans="1:12">
      <c r="A193" s="4"/>
      <c r="D193" t="str">
        <f>IF($C193="","",IFERROR(INDEX(Orders!$B:$B,MATCH($C193,Orders!$A:$A,0)),""))</f>
        <v/>
      </c>
      <c r="E193" t="str">
        <f>IF($C193="","",IFERROR(INDEX(Orders!$D:$D,MATCH($C193,Orders!$A:$A,0)),""))</f>
        <v/>
      </c>
      <c r="H193" s="5"/>
      <c r="I193" s="5"/>
      <c r="J193" s="5"/>
      <c r="K193" s="5"/>
      <c r="L193" s="5" t="str">
        <f t="shared" si="2"/>
        <v/>
      </c>
    </row>
    <row r="194" spans="1:12">
      <c r="A194" s="4"/>
      <c r="D194" t="str">
        <f>IF($C194="","",IFERROR(INDEX(Orders!$B:$B,MATCH($C194,Orders!$A:$A,0)),""))</f>
        <v/>
      </c>
      <c r="E194" t="str">
        <f>IF($C194="","",IFERROR(INDEX(Orders!$D:$D,MATCH($C194,Orders!$A:$A,0)),""))</f>
        <v/>
      </c>
      <c r="H194" s="5"/>
      <c r="I194" s="5"/>
      <c r="J194" s="5"/>
      <c r="K194" s="5"/>
      <c r="L194" s="5" t="str">
        <f t="shared" ref="L194:L257" si="3">IF($C194="","",$H194-$I194-$K194)</f>
        <v/>
      </c>
    </row>
    <row r="195" spans="1:12">
      <c r="A195" s="4"/>
      <c r="D195" t="str">
        <f>IF($C195="","",IFERROR(INDEX(Orders!$B:$B,MATCH($C195,Orders!$A:$A,0)),""))</f>
        <v/>
      </c>
      <c r="E195" t="str">
        <f>IF($C195="","",IFERROR(INDEX(Orders!$D:$D,MATCH($C195,Orders!$A:$A,0)),""))</f>
        <v/>
      </c>
      <c r="H195" s="5"/>
      <c r="I195" s="5"/>
      <c r="J195" s="5"/>
      <c r="K195" s="5"/>
      <c r="L195" s="5" t="str">
        <f t="shared" si="3"/>
        <v/>
      </c>
    </row>
    <row r="196" spans="1:12">
      <c r="A196" s="4"/>
      <c r="D196" t="str">
        <f>IF($C196="","",IFERROR(INDEX(Orders!$B:$B,MATCH($C196,Orders!$A:$A,0)),""))</f>
        <v/>
      </c>
      <c r="E196" t="str">
        <f>IF($C196="","",IFERROR(INDEX(Orders!$D:$D,MATCH($C196,Orders!$A:$A,0)),""))</f>
        <v/>
      </c>
      <c r="H196" s="5"/>
      <c r="I196" s="5"/>
      <c r="J196" s="5"/>
      <c r="K196" s="5"/>
      <c r="L196" s="5" t="str">
        <f t="shared" si="3"/>
        <v/>
      </c>
    </row>
    <row r="197" spans="1:12">
      <c r="A197" s="4"/>
      <c r="D197" t="str">
        <f>IF($C197="","",IFERROR(INDEX(Orders!$B:$B,MATCH($C197,Orders!$A:$A,0)),""))</f>
        <v/>
      </c>
      <c r="E197" t="str">
        <f>IF($C197="","",IFERROR(INDEX(Orders!$D:$D,MATCH($C197,Orders!$A:$A,0)),""))</f>
        <v/>
      </c>
      <c r="H197" s="5"/>
      <c r="I197" s="5"/>
      <c r="J197" s="5"/>
      <c r="K197" s="5"/>
      <c r="L197" s="5" t="str">
        <f t="shared" si="3"/>
        <v/>
      </c>
    </row>
    <row r="198" spans="1:12">
      <c r="A198" s="4"/>
      <c r="D198" t="str">
        <f>IF($C198="","",IFERROR(INDEX(Orders!$B:$B,MATCH($C198,Orders!$A:$A,0)),""))</f>
        <v/>
      </c>
      <c r="E198" t="str">
        <f>IF($C198="","",IFERROR(INDEX(Orders!$D:$D,MATCH($C198,Orders!$A:$A,0)),""))</f>
        <v/>
      </c>
      <c r="H198" s="5"/>
      <c r="I198" s="5"/>
      <c r="J198" s="5"/>
      <c r="K198" s="5"/>
      <c r="L198" s="5" t="str">
        <f t="shared" si="3"/>
        <v/>
      </c>
    </row>
    <row r="199" spans="1:12">
      <c r="A199" s="4"/>
      <c r="D199" t="str">
        <f>IF($C199="","",IFERROR(INDEX(Orders!$B:$B,MATCH($C199,Orders!$A:$A,0)),""))</f>
        <v/>
      </c>
      <c r="E199" t="str">
        <f>IF($C199="","",IFERROR(INDEX(Orders!$D:$D,MATCH($C199,Orders!$A:$A,0)),""))</f>
        <v/>
      </c>
      <c r="H199" s="5"/>
      <c r="I199" s="5"/>
      <c r="J199" s="5"/>
      <c r="K199" s="5"/>
      <c r="L199" s="5" t="str">
        <f t="shared" si="3"/>
        <v/>
      </c>
    </row>
    <row r="200" spans="1:12">
      <c r="A200" s="4"/>
      <c r="D200" t="str">
        <f>IF($C200="","",IFERROR(INDEX(Orders!$B:$B,MATCH($C200,Orders!$A:$A,0)),""))</f>
        <v/>
      </c>
      <c r="E200" t="str">
        <f>IF($C200="","",IFERROR(INDEX(Orders!$D:$D,MATCH($C200,Orders!$A:$A,0)),""))</f>
        <v/>
      </c>
      <c r="H200" s="5"/>
      <c r="I200" s="5"/>
      <c r="J200" s="5"/>
      <c r="K200" s="5"/>
      <c r="L200" s="5" t="str">
        <f t="shared" si="3"/>
        <v/>
      </c>
    </row>
    <row r="201" spans="1:12">
      <c r="A201" s="4"/>
      <c r="D201" t="str">
        <f>IF($C201="","",IFERROR(INDEX(Orders!$B:$B,MATCH($C201,Orders!$A:$A,0)),""))</f>
        <v/>
      </c>
      <c r="E201" t="str">
        <f>IF($C201="","",IFERROR(INDEX(Orders!$D:$D,MATCH($C201,Orders!$A:$A,0)),""))</f>
        <v/>
      </c>
      <c r="H201" s="5"/>
      <c r="I201" s="5"/>
      <c r="J201" s="5"/>
      <c r="K201" s="5"/>
      <c r="L201" s="5" t="str">
        <f t="shared" si="3"/>
        <v/>
      </c>
    </row>
    <row r="202" spans="1:12">
      <c r="A202" s="4"/>
      <c r="D202" t="str">
        <f>IF($C202="","",IFERROR(INDEX(Orders!$B:$B,MATCH($C202,Orders!$A:$A,0)),""))</f>
        <v/>
      </c>
      <c r="E202" t="str">
        <f>IF($C202="","",IFERROR(INDEX(Orders!$D:$D,MATCH($C202,Orders!$A:$A,0)),""))</f>
        <v/>
      </c>
      <c r="H202" s="5"/>
      <c r="I202" s="5"/>
      <c r="J202" s="5"/>
      <c r="K202" s="5"/>
      <c r="L202" s="5" t="str">
        <f t="shared" si="3"/>
        <v/>
      </c>
    </row>
    <row r="203" spans="1:12">
      <c r="A203" s="4"/>
      <c r="D203" t="str">
        <f>IF($C203="","",IFERROR(INDEX(Orders!$B:$B,MATCH($C203,Orders!$A:$A,0)),""))</f>
        <v/>
      </c>
      <c r="E203" t="str">
        <f>IF($C203="","",IFERROR(INDEX(Orders!$D:$D,MATCH($C203,Orders!$A:$A,0)),""))</f>
        <v/>
      </c>
      <c r="H203" s="5"/>
      <c r="I203" s="5"/>
      <c r="J203" s="5"/>
      <c r="K203" s="5"/>
      <c r="L203" s="5" t="str">
        <f t="shared" si="3"/>
        <v/>
      </c>
    </row>
    <row r="204" spans="1:12">
      <c r="A204" s="4"/>
      <c r="D204" t="str">
        <f>IF($C204="","",IFERROR(INDEX(Orders!$B:$B,MATCH($C204,Orders!$A:$A,0)),""))</f>
        <v/>
      </c>
      <c r="E204" t="str">
        <f>IF($C204="","",IFERROR(INDEX(Orders!$D:$D,MATCH($C204,Orders!$A:$A,0)),""))</f>
        <v/>
      </c>
      <c r="H204" s="5"/>
      <c r="I204" s="5"/>
      <c r="J204" s="5"/>
      <c r="K204" s="5"/>
      <c r="L204" s="5" t="str">
        <f t="shared" si="3"/>
        <v/>
      </c>
    </row>
    <row r="205" spans="1:12">
      <c r="A205" s="4"/>
      <c r="D205" t="str">
        <f>IF($C205="","",IFERROR(INDEX(Orders!$B:$B,MATCH($C205,Orders!$A:$A,0)),""))</f>
        <v/>
      </c>
      <c r="E205" t="str">
        <f>IF($C205="","",IFERROR(INDEX(Orders!$D:$D,MATCH($C205,Orders!$A:$A,0)),""))</f>
        <v/>
      </c>
      <c r="H205" s="5"/>
      <c r="I205" s="5"/>
      <c r="J205" s="5"/>
      <c r="K205" s="5"/>
      <c r="L205" s="5" t="str">
        <f t="shared" si="3"/>
        <v/>
      </c>
    </row>
    <row r="206" spans="1:12">
      <c r="A206" s="4"/>
      <c r="D206" t="str">
        <f>IF($C206="","",IFERROR(INDEX(Orders!$B:$B,MATCH($C206,Orders!$A:$A,0)),""))</f>
        <v/>
      </c>
      <c r="E206" t="str">
        <f>IF($C206="","",IFERROR(INDEX(Orders!$D:$D,MATCH($C206,Orders!$A:$A,0)),""))</f>
        <v/>
      </c>
      <c r="H206" s="5"/>
      <c r="I206" s="5"/>
      <c r="J206" s="5"/>
      <c r="K206" s="5"/>
      <c r="L206" s="5" t="str">
        <f t="shared" si="3"/>
        <v/>
      </c>
    </row>
    <row r="207" spans="1:12">
      <c r="A207" s="4"/>
      <c r="D207" t="str">
        <f>IF($C207="","",IFERROR(INDEX(Orders!$B:$B,MATCH($C207,Orders!$A:$A,0)),""))</f>
        <v/>
      </c>
      <c r="E207" t="str">
        <f>IF($C207="","",IFERROR(INDEX(Orders!$D:$D,MATCH($C207,Orders!$A:$A,0)),""))</f>
        <v/>
      </c>
      <c r="H207" s="5"/>
      <c r="I207" s="5"/>
      <c r="J207" s="5"/>
      <c r="K207" s="5"/>
      <c r="L207" s="5" t="str">
        <f t="shared" si="3"/>
        <v/>
      </c>
    </row>
    <row r="208" spans="1:12">
      <c r="A208" s="4"/>
      <c r="D208" t="str">
        <f>IF($C208="","",IFERROR(INDEX(Orders!$B:$B,MATCH($C208,Orders!$A:$A,0)),""))</f>
        <v/>
      </c>
      <c r="E208" t="str">
        <f>IF($C208="","",IFERROR(INDEX(Orders!$D:$D,MATCH($C208,Orders!$A:$A,0)),""))</f>
        <v/>
      </c>
      <c r="H208" s="5"/>
      <c r="I208" s="5"/>
      <c r="J208" s="5"/>
      <c r="K208" s="5"/>
      <c r="L208" s="5" t="str">
        <f t="shared" si="3"/>
        <v/>
      </c>
    </row>
    <row r="209" spans="1:12">
      <c r="A209" s="4"/>
      <c r="D209" t="str">
        <f>IF($C209="","",IFERROR(INDEX(Orders!$B:$B,MATCH($C209,Orders!$A:$A,0)),""))</f>
        <v/>
      </c>
      <c r="E209" t="str">
        <f>IF($C209="","",IFERROR(INDEX(Orders!$D:$D,MATCH($C209,Orders!$A:$A,0)),""))</f>
        <v/>
      </c>
      <c r="H209" s="5"/>
      <c r="I209" s="5"/>
      <c r="J209" s="5"/>
      <c r="K209" s="5"/>
      <c r="L209" s="5" t="str">
        <f t="shared" si="3"/>
        <v/>
      </c>
    </row>
    <row r="210" spans="1:12">
      <c r="A210" s="4"/>
      <c r="D210" t="str">
        <f>IF($C210="","",IFERROR(INDEX(Orders!$B:$B,MATCH($C210,Orders!$A:$A,0)),""))</f>
        <v/>
      </c>
      <c r="E210" t="str">
        <f>IF($C210="","",IFERROR(INDEX(Orders!$D:$D,MATCH($C210,Orders!$A:$A,0)),""))</f>
        <v/>
      </c>
      <c r="H210" s="5"/>
      <c r="I210" s="5"/>
      <c r="J210" s="5"/>
      <c r="K210" s="5"/>
      <c r="L210" s="5" t="str">
        <f t="shared" si="3"/>
        <v/>
      </c>
    </row>
    <row r="211" spans="1:12">
      <c r="A211" s="4"/>
      <c r="D211" t="str">
        <f>IF($C211="","",IFERROR(INDEX(Orders!$B:$B,MATCH($C211,Orders!$A:$A,0)),""))</f>
        <v/>
      </c>
      <c r="E211" t="str">
        <f>IF($C211="","",IFERROR(INDEX(Orders!$D:$D,MATCH($C211,Orders!$A:$A,0)),""))</f>
        <v/>
      </c>
      <c r="H211" s="5"/>
      <c r="I211" s="5"/>
      <c r="J211" s="5"/>
      <c r="K211" s="5"/>
      <c r="L211" s="5" t="str">
        <f t="shared" si="3"/>
        <v/>
      </c>
    </row>
    <row r="212" spans="1:12">
      <c r="A212" s="4"/>
      <c r="D212" t="str">
        <f>IF($C212="","",IFERROR(INDEX(Orders!$B:$B,MATCH($C212,Orders!$A:$A,0)),""))</f>
        <v/>
      </c>
      <c r="E212" t="str">
        <f>IF($C212="","",IFERROR(INDEX(Orders!$D:$D,MATCH($C212,Orders!$A:$A,0)),""))</f>
        <v/>
      </c>
      <c r="H212" s="5"/>
      <c r="I212" s="5"/>
      <c r="J212" s="5"/>
      <c r="K212" s="5"/>
      <c r="L212" s="5" t="str">
        <f t="shared" si="3"/>
        <v/>
      </c>
    </row>
    <row r="213" spans="1:12">
      <c r="A213" s="4"/>
      <c r="D213" t="str">
        <f>IF($C213="","",IFERROR(INDEX(Orders!$B:$B,MATCH($C213,Orders!$A:$A,0)),""))</f>
        <v/>
      </c>
      <c r="E213" t="str">
        <f>IF($C213="","",IFERROR(INDEX(Orders!$D:$D,MATCH($C213,Orders!$A:$A,0)),""))</f>
        <v/>
      </c>
      <c r="H213" s="5"/>
      <c r="I213" s="5"/>
      <c r="J213" s="5"/>
      <c r="K213" s="5"/>
      <c r="L213" s="5" t="str">
        <f t="shared" si="3"/>
        <v/>
      </c>
    </row>
    <row r="214" spans="1:12">
      <c r="A214" s="4"/>
      <c r="D214" t="str">
        <f>IF($C214="","",IFERROR(INDEX(Orders!$B:$B,MATCH($C214,Orders!$A:$A,0)),""))</f>
        <v/>
      </c>
      <c r="E214" t="str">
        <f>IF($C214="","",IFERROR(INDEX(Orders!$D:$D,MATCH($C214,Orders!$A:$A,0)),""))</f>
        <v/>
      </c>
      <c r="H214" s="5"/>
      <c r="I214" s="5"/>
      <c r="J214" s="5"/>
      <c r="K214" s="5"/>
      <c r="L214" s="5" t="str">
        <f t="shared" si="3"/>
        <v/>
      </c>
    </row>
    <row r="215" spans="1:12">
      <c r="A215" s="4"/>
      <c r="D215" t="str">
        <f>IF($C215="","",IFERROR(INDEX(Orders!$B:$B,MATCH($C215,Orders!$A:$A,0)),""))</f>
        <v/>
      </c>
      <c r="E215" t="str">
        <f>IF($C215="","",IFERROR(INDEX(Orders!$D:$D,MATCH($C215,Orders!$A:$A,0)),""))</f>
        <v/>
      </c>
      <c r="H215" s="5"/>
      <c r="I215" s="5"/>
      <c r="J215" s="5"/>
      <c r="K215" s="5"/>
      <c r="L215" s="5" t="str">
        <f t="shared" si="3"/>
        <v/>
      </c>
    </row>
    <row r="216" spans="1:12">
      <c r="A216" s="4"/>
      <c r="D216" t="str">
        <f>IF($C216="","",IFERROR(INDEX(Orders!$B:$B,MATCH($C216,Orders!$A:$A,0)),""))</f>
        <v/>
      </c>
      <c r="E216" t="str">
        <f>IF($C216="","",IFERROR(INDEX(Orders!$D:$D,MATCH($C216,Orders!$A:$A,0)),""))</f>
        <v/>
      </c>
      <c r="H216" s="5"/>
      <c r="I216" s="5"/>
      <c r="J216" s="5"/>
      <c r="K216" s="5"/>
      <c r="L216" s="5" t="str">
        <f t="shared" si="3"/>
        <v/>
      </c>
    </row>
    <row r="217" spans="1:12">
      <c r="A217" s="4"/>
      <c r="D217" t="str">
        <f>IF($C217="","",IFERROR(INDEX(Orders!$B:$B,MATCH($C217,Orders!$A:$A,0)),""))</f>
        <v/>
      </c>
      <c r="E217" t="str">
        <f>IF($C217="","",IFERROR(INDEX(Orders!$D:$D,MATCH($C217,Orders!$A:$A,0)),""))</f>
        <v/>
      </c>
      <c r="H217" s="5"/>
      <c r="I217" s="5"/>
      <c r="J217" s="5"/>
      <c r="K217" s="5"/>
      <c r="L217" s="5" t="str">
        <f t="shared" si="3"/>
        <v/>
      </c>
    </row>
    <row r="218" spans="1:12">
      <c r="A218" s="4"/>
      <c r="D218" t="str">
        <f>IF($C218="","",IFERROR(INDEX(Orders!$B:$B,MATCH($C218,Orders!$A:$A,0)),""))</f>
        <v/>
      </c>
      <c r="E218" t="str">
        <f>IF($C218="","",IFERROR(INDEX(Orders!$D:$D,MATCH($C218,Orders!$A:$A,0)),""))</f>
        <v/>
      </c>
      <c r="H218" s="5"/>
      <c r="I218" s="5"/>
      <c r="J218" s="5"/>
      <c r="K218" s="5"/>
      <c r="L218" s="5" t="str">
        <f t="shared" si="3"/>
        <v/>
      </c>
    </row>
    <row r="219" spans="1:12">
      <c r="A219" s="4"/>
      <c r="D219" t="str">
        <f>IF($C219="","",IFERROR(INDEX(Orders!$B:$B,MATCH($C219,Orders!$A:$A,0)),""))</f>
        <v/>
      </c>
      <c r="E219" t="str">
        <f>IF($C219="","",IFERROR(INDEX(Orders!$D:$D,MATCH($C219,Orders!$A:$A,0)),""))</f>
        <v/>
      </c>
      <c r="H219" s="5"/>
      <c r="I219" s="5"/>
      <c r="J219" s="5"/>
      <c r="K219" s="5"/>
      <c r="L219" s="5" t="str">
        <f t="shared" si="3"/>
        <v/>
      </c>
    </row>
    <row r="220" spans="1:12">
      <c r="A220" s="4"/>
      <c r="D220" t="str">
        <f>IF($C220="","",IFERROR(INDEX(Orders!$B:$B,MATCH($C220,Orders!$A:$A,0)),""))</f>
        <v/>
      </c>
      <c r="E220" t="str">
        <f>IF($C220="","",IFERROR(INDEX(Orders!$D:$D,MATCH($C220,Orders!$A:$A,0)),""))</f>
        <v/>
      </c>
      <c r="H220" s="5"/>
      <c r="I220" s="5"/>
      <c r="J220" s="5"/>
      <c r="K220" s="5"/>
      <c r="L220" s="5" t="str">
        <f t="shared" si="3"/>
        <v/>
      </c>
    </row>
    <row r="221" spans="1:12">
      <c r="A221" s="4"/>
      <c r="D221" t="str">
        <f>IF($C221="","",IFERROR(INDEX(Orders!$B:$B,MATCH($C221,Orders!$A:$A,0)),""))</f>
        <v/>
      </c>
      <c r="E221" t="str">
        <f>IF($C221="","",IFERROR(INDEX(Orders!$D:$D,MATCH($C221,Orders!$A:$A,0)),""))</f>
        <v/>
      </c>
      <c r="H221" s="5"/>
      <c r="I221" s="5"/>
      <c r="J221" s="5"/>
      <c r="K221" s="5"/>
      <c r="L221" s="5" t="str">
        <f t="shared" si="3"/>
        <v/>
      </c>
    </row>
    <row r="222" spans="1:12">
      <c r="A222" s="4"/>
      <c r="D222" t="str">
        <f>IF($C222="","",IFERROR(INDEX(Orders!$B:$B,MATCH($C222,Orders!$A:$A,0)),""))</f>
        <v/>
      </c>
      <c r="E222" t="str">
        <f>IF($C222="","",IFERROR(INDEX(Orders!$D:$D,MATCH($C222,Orders!$A:$A,0)),""))</f>
        <v/>
      </c>
      <c r="H222" s="5"/>
      <c r="I222" s="5"/>
      <c r="J222" s="5"/>
      <c r="K222" s="5"/>
      <c r="L222" s="5" t="str">
        <f t="shared" si="3"/>
        <v/>
      </c>
    </row>
    <row r="223" spans="1:12">
      <c r="A223" s="4"/>
      <c r="D223" t="str">
        <f>IF($C223="","",IFERROR(INDEX(Orders!$B:$B,MATCH($C223,Orders!$A:$A,0)),""))</f>
        <v/>
      </c>
      <c r="E223" t="str">
        <f>IF($C223="","",IFERROR(INDEX(Orders!$D:$D,MATCH($C223,Orders!$A:$A,0)),""))</f>
        <v/>
      </c>
      <c r="H223" s="5"/>
      <c r="I223" s="5"/>
      <c r="J223" s="5"/>
      <c r="K223" s="5"/>
      <c r="L223" s="5" t="str">
        <f t="shared" si="3"/>
        <v/>
      </c>
    </row>
    <row r="224" spans="1:12">
      <c r="A224" s="4"/>
      <c r="D224" t="str">
        <f>IF($C224="","",IFERROR(INDEX(Orders!$B:$B,MATCH($C224,Orders!$A:$A,0)),""))</f>
        <v/>
      </c>
      <c r="E224" t="str">
        <f>IF($C224="","",IFERROR(INDEX(Orders!$D:$D,MATCH($C224,Orders!$A:$A,0)),""))</f>
        <v/>
      </c>
      <c r="H224" s="5"/>
      <c r="I224" s="5"/>
      <c r="J224" s="5"/>
      <c r="K224" s="5"/>
      <c r="L224" s="5" t="str">
        <f t="shared" si="3"/>
        <v/>
      </c>
    </row>
    <row r="225" spans="1:12">
      <c r="A225" s="4"/>
      <c r="D225" t="str">
        <f>IF($C225="","",IFERROR(INDEX(Orders!$B:$B,MATCH($C225,Orders!$A:$A,0)),""))</f>
        <v/>
      </c>
      <c r="E225" t="str">
        <f>IF($C225="","",IFERROR(INDEX(Orders!$D:$D,MATCH($C225,Orders!$A:$A,0)),""))</f>
        <v/>
      </c>
      <c r="H225" s="5"/>
      <c r="I225" s="5"/>
      <c r="J225" s="5"/>
      <c r="K225" s="5"/>
      <c r="L225" s="5" t="str">
        <f t="shared" si="3"/>
        <v/>
      </c>
    </row>
    <row r="226" spans="1:12">
      <c r="A226" s="4"/>
      <c r="D226" t="str">
        <f>IF($C226="","",IFERROR(INDEX(Orders!$B:$B,MATCH($C226,Orders!$A:$A,0)),""))</f>
        <v/>
      </c>
      <c r="E226" t="str">
        <f>IF($C226="","",IFERROR(INDEX(Orders!$D:$D,MATCH($C226,Orders!$A:$A,0)),""))</f>
        <v/>
      </c>
      <c r="H226" s="5"/>
      <c r="I226" s="5"/>
      <c r="J226" s="5"/>
      <c r="K226" s="5"/>
      <c r="L226" s="5" t="str">
        <f t="shared" si="3"/>
        <v/>
      </c>
    </row>
    <row r="227" spans="1:12">
      <c r="A227" s="4"/>
      <c r="D227" t="str">
        <f>IF($C227="","",IFERROR(INDEX(Orders!$B:$B,MATCH($C227,Orders!$A:$A,0)),""))</f>
        <v/>
      </c>
      <c r="E227" t="str">
        <f>IF($C227="","",IFERROR(INDEX(Orders!$D:$D,MATCH($C227,Orders!$A:$A,0)),""))</f>
        <v/>
      </c>
      <c r="H227" s="5"/>
      <c r="I227" s="5"/>
      <c r="J227" s="5"/>
      <c r="K227" s="5"/>
      <c r="L227" s="5" t="str">
        <f t="shared" si="3"/>
        <v/>
      </c>
    </row>
    <row r="228" spans="1:12">
      <c r="A228" s="4"/>
      <c r="D228" t="str">
        <f>IF($C228="","",IFERROR(INDEX(Orders!$B:$B,MATCH($C228,Orders!$A:$A,0)),""))</f>
        <v/>
      </c>
      <c r="E228" t="str">
        <f>IF($C228="","",IFERROR(INDEX(Orders!$D:$D,MATCH($C228,Orders!$A:$A,0)),""))</f>
        <v/>
      </c>
      <c r="H228" s="5"/>
      <c r="I228" s="5"/>
      <c r="J228" s="5"/>
      <c r="K228" s="5"/>
      <c r="L228" s="5" t="str">
        <f t="shared" si="3"/>
        <v/>
      </c>
    </row>
    <row r="229" spans="1:12">
      <c r="A229" s="4"/>
      <c r="D229" t="str">
        <f>IF($C229="","",IFERROR(INDEX(Orders!$B:$B,MATCH($C229,Orders!$A:$A,0)),""))</f>
        <v/>
      </c>
      <c r="E229" t="str">
        <f>IF($C229="","",IFERROR(INDEX(Orders!$D:$D,MATCH($C229,Orders!$A:$A,0)),""))</f>
        <v/>
      </c>
      <c r="H229" s="5"/>
      <c r="I229" s="5"/>
      <c r="J229" s="5"/>
      <c r="K229" s="5"/>
      <c r="L229" s="5" t="str">
        <f t="shared" si="3"/>
        <v/>
      </c>
    </row>
    <row r="230" spans="1:12">
      <c r="A230" s="4"/>
      <c r="D230" t="str">
        <f>IF($C230="","",IFERROR(INDEX(Orders!$B:$B,MATCH($C230,Orders!$A:$A,0)),""))</f>
        <v/>
      </c>
      <c r="E230" t="str">
        <f>IF($C230="","",IFERROR(INDEX(Orders!$D:$D,MATCH($C230,Orders!$A:$A,0)),""))</f>
        <v/>
      </c>
      <c r="H230" s="5"/>
      <c r="I230" s="5"/>
      <c r="J230" s="5"/>
      <c r="K230" s="5"/>
      <c r="L230" s="5" t="str">
        <f t="shared" si="3"/>
        <v/>
      </c>
    </row>
    <row r="231" spans="1:12">
      <c r="A231" s="4"/>
      <c r="D231" t="str">
        <f>IF($C231="","",IFERROR(INDEX(Orders!$B:$B,MATCH($C231,Orders!$A:$A,0)),""))</f>
        <v/>
      </c>
      <c r="E231" t="str">
        <f>IF($C231="","",IFERROR(INDEX(Orders!$D:$D,MATCH($C231,Orders!$A:$A,0)),""))</f>
        <v/>
      </c>
      <c r="H231" s="5"/>
      <c r="I231" s="5"/>
      <c r="J231" s="5"/>
      <c r="K231" s="5"/>
      <c r="L231" s="5" t="str">
        <f t="shared" si="3"/>
        <v/>
      </c>
    </row>
    <row r="232" spans="1:12">
      <c r="A232" s="4"/>
      <c r="D232" t="str">
        <f>IF($C232="","",IFERROR(INDEX(Orders!$B:$B,MATCH($C232,Orders!$A:$A,0)),""))</f>
        <v/>
      </c>
      <c r="E232" t="str">
        <f>IF($C232="","",IFERROR(INDEX(Orders!$D:$D,MATCH($C232,Orders!$A:$A,0)),""))</f>
        <v/>
      </c>
      <c r="H232" s="5"/>
      <c r="I232" s="5"/>
      <c r="J232" s="5"/>
      <c r="K232" s="5"/>
      <c r="L232" s="5" t="str">
        <f t="shared" si="3"/>
        <v/>
      </c>
    </row>
    <row r="233" spans="1:12">
      <c r="A233" s="4"/>
      <c r="D233" t="str">
        <f>IF($C233="","",IFERROR(INDEX(Orders!$B:$B,MATCH($C233,Orders!$A:$A,0)),""))</f>
        <v/>
      </c>
      <c r="E233" t="str">
        <f>IF($C233="","",IFERROR(INDEX(Orders!$D:$D,MATCH($C233,Orders!$A:$A,0)),""))</f>
        <v/>
      </c>
      <c r="H233" s="5"/>
      <c r="I233" s="5"/>
      <c r="J233" s="5"/>
      <c r="K233" s="5"/>
      <c r="L233" s="5" t="str">
        <f t="shared" si="3"/>
        <v/>
      </c>
    </row>
    <row r="234" spans="1:12">
      <c r="A234" s="4"/>
      <c r="D234" t="str">
        <f>IF($C234="","",IFERROR(INDEX(Orders!$B:$B,MATCH($C234,Orders!$A:$A,0)),""))</f>
        <v/>
      </c>
      <c r="E234" t="str">
        <f>IF($C234="","",IFERROR(INDEX(Orders!$D:$D,MATCH($C234,Orders!$A:$A,0)),""))</f>
        <v/>
      </c>
      <c r="H234" s="5"/>
      <c r="I234" s="5"/>
      <c r="J234" s="5"/>
      <c r="K234" s="5"/>
      <c r="L234" s="5" t="str">
        <f t="shared" si="3"/>
        <v/>
      </c>
    </row>
    <row r="235" spans="1:12">
      <c r="A235" s="4"/>
      <c r="D235" t="str">
        <f>IF($C235="","",IFERROR(INDEX(Orders!$B:$B,MATCH($C235,Orders!$A:$A,0)),""))</f>
        <v/>
      </c>
      <c r="E235" t="str">
        <f>IF($C235="","",IFERROR(INDEX(Orders!$D:$D,MATCH($C235,Orders!$A:$A,0)),""))</f>
        <v/>
      </c>
      <c r="H235" s="5"/>
      <c r="I235" s="5"/>
      <c r="J235" s="5"/>
      <c r="K235" s="5"/>
      <c r="L235" s="5" t="str">
        <f t="shared" si="3"/>
        <v/>
      </c>
    </row>
    <row r="236" spans="1:12">
      <c r="A236" s="4"/>
      <c r="D236" t="str">
        <f>IF($C236="","",IFERROR(INDEX(Orders!$B:$B,MATCH($C236,Orders!$A:$A,0)),""))</f>
        <v/>
      </c>
      <c r="E236" t="str">
        <f>IF($C236="","",IFERROR(INDEX(Orders!$D:$D,MATCH($C236,Orders!$A:$A,0)),""))</f>
        <v/>
      </c>
      <c r="H236" s="5"/>
      <c r="I236" s="5"/>
      <c r="J236" s="5"/>
      <c r="K236" s="5"/>
      <c r="L236" s="5" t="str">
        <f t="shared" si="3"/>
        <v/>
      </c>
    </row>
    <row r="237" spans="1:12">
      <c r="A237" s="4"/>
      <c r="D237" t="str">
        <f>IF($C237="","",IFERROR(INDEX(Orders!$B:$B,MATCH($C237,Orders!$A:$A,0)),""))</f>
        <v/>
      </c>
      <c r="E237" t="str">
        <f>IF($C237="","",IFERROR(INDEX(Orders!$D:$D,MATCH($C237,Orders!$A:$A,0)),""))</f>
        <v/>
      </c>
      <c r="H237" s="5"/>
      <c r="I237" s="5"/>
      <c r="J237" s="5"/>
      <c r="K237" s="5"/>
      <c r="L237" s="5" t="str">
        <f t="shared" si="3"/>
        <v/>
      </c>
    </row>
    <row r="238" spans="1:12">
      <c r="A238" s="4"/>
      <c r="D238" t="str">
        <f>IF($C238="","",IFERROR(INDEX(Orders!$B:$B,MATCH($C238,Orders!$A:$A,0)),""))</f>
        <v/>
      </c>
      <c r="E238" t="str">
        <f>IF($C238="","",IFERROR(INDEX(Orders!$D:$D,MATCH($C238,Orders!$A:$A,0)),""))</f>
        <v/>
      </c>
      <c r="H238" s="5"/>
      <c r="I238" s="5"/>
      <c r="J238" s="5"/>
      <c r="K238" s="5"/>
      <c r="L238" s="5" t="str">
        <f t="shared" si="3"/>
        <v/>
      </c>
    </row>
    <row r="239" spans="1:12">
      <c r="A239" s="4"/>
      <c r="D239" t="str">
        <f>IF($C239="","",IFERROR(INDEX(Orders!$B:$B,MATCH($C239,Orders!$A:$A,0)),""))</f>
        <v/>
      </c>
      <c r="E239" t="str">
        <f>IF($C239="","",IFERROR(INDEX(Orders!$D:$D,MATCH($C239,Orders!$A:$A,0)),""))</f>
        <v/>
      </c>
      <c r="H239" s="5"/>
      <c r="I239" s="5"/>
      <c r="J239" s="5"/>
      <c r="K239" s="5"/>
      <c r="L239" s="5" t="str">
        <f t="shared" si="3"/>
        <v/>
      </c>
    </row>
    <row r="240" spans="1:12">
      <c r="A240" s="4"/>
      <c r="D240" t="str">
        <f>IF($C240="","",IFERROR(INDEX(Orders!$B:$B,MATCH($C240,Orders!$A:$A,0)),""))</f>
        <v/>
      </c>
      <c r="E240" t="str">
        <f>IF($C240="","",IFERROR(INDEX(Orders!$D:$D,MATCH($C240,Orders!$A:$A,0)),""))</f>
        <v/>
      </c>
      <c r="H240" s="5"/>
      <c r="I240" s="5"/>
      <c r="J240" s="5"/>
      <c r="K240" s="5"/>
      <c r="L240" s="5" t="str">
        <f t="shared" si="3"/>
        <v/>
      </c>
    </row>
    <row r="241" spans="1:12">
      <c r="A241" s="4"/>
      <c r="D241" t="str">
        <f>IF($C241="","",IFERROR(INDEX(Orders!$B:$B,MATCH($C241,Orders!$A:$A,0)),""))</f>
        <v/>
      </c>
      <c r="E241" t="str">
        <f>IF($C241="","",IFERROR(INDEX(Orders!$D:$D,MATCH($C241,Orders!$A:$A,0)),""))</f>
        <v/>
      </c>
      <c r="H241" s="5"/>
      <c r="I241" s="5"/>
      <c r="J241" s="5"/>
      <c r="K241" s="5"/>
      <c r="L241" s="5" t="str">
        <f t="shared" si="3"/>
        <v/>
      </c>
    </row>
    <row r="242" spans="1:12">
      <c r="A242" s="4"/>
      <c r="D242" t="str">
        <f>IF($C242="","",IFERROR(INDEX(Orders!$B:$B,MATCH($C242,Orders!$A:$A,0)),""))</f>
        <v/>
      </c>
      <c r="E242" t="str">
        <f>IF($C242="","",IFERROR(INDEX(Orders!$D:$D,MATCH($C242,Orders!$A:$A,0)),""))</f>
        <v/>
      </c>
      <c r="H242" s="5"/>
      <c r="I242" s="5"/>
      <c r="J242" s="5"/>
      <c r="K242" s="5"/>
      <c r="L242" s="5" t="str">
        <f t="shared" si="3"/>
        <v/>
      </c>
    </row>
    <row r="243" spans="1:12">
      <c r="A243" s="4"/>
      <c r="D243" t="str">
        <f>IF($C243="","",IFERROR(INDEX(Orders!$B:$B,MATCH($C243,Orders!$A:$A,0)),""))</f>
        <v/>
      </c>
      <c r="E243" t="str">
        <f>IF($C243="","",IFERROR(INDEX(Orders!$D:$D,MATCH($C243,Orders!$A:$A,0)),""))</f>
        <v/>
      </c>
      <c r="H243" s="5"/>
      <c r="I243" s="5"/>
      <c r="J243" s="5"/>
      <c r="K243" s="5"/>
      <c r="L243" s="5" t="str">
        <f t="shared" si="3"/>
        <v/>
      </c>
    </row>
    <row r="244" spans="1:12">
      <c r="A244" s="4"/>
      <c r="D244" t="str">
        <f>IF($C244="","",IFERROR(INDEX(Orders!$B:$B,MATCH($C244,Orders!$A:$A,0)),""))</f>
        <v/>
      </c>
      <c r="E244" t="str">
        <f>IF($C244="","",IFERROR(INDEX(Orders!$D:$D,MATCH($C244,Orders!$A:$A,0)),""))</f>
        <v/>
      </c>
      <c r="H244" s="5"/>
      <c r="I244" s="5"/>
      <c r="J244" s="5"/>
      <c r="K244" s="5"/>
      <c r="L244" s="5" t="str">
        <f t="shared" si="3"/>
        <v/>
      </c>
    </row>
    <row r="245" spans="1:12">
      <c r="A245" s="4"/>
      <c r="D245" t="str">
        <f>IF($C245="","",IFERROR(INDEX(Orders!$B:$B,MATCH($C245,Orders!$A:$A,0)),""))</f>
        <v/>
      </c>
      <c r="E245" t="str">
        <f>IF($C245="","",IFERROR(INDEX(Orders!$D:$D,MATCH($C245,Orders!$A:$A,0)),""))</f>
        <v/>
      </c>
      <c r="H245" s="5"/>
      <c r="I245" s="5"/>
      <c r="J245" s="5"/>
      <c r="K245" s="5"/>
      <c r="L245" s="5" t="str">
        <f t="shared" si="3"/>
        <v/>
      </c>
    </row>
    <row r="246" spans="1:12">
      <c r="A246" s="4"/>
      <c r="D246" t="str">
        <f>IF($C246="","",IFERROR(INDEX(Orders!$B:$B,MATCH($C246,Orders!$A:$A,0)),""))</f>
        <v/>
      </c>
      <c r="E246" t="str">
        <f>IF($C246="","",IFERROR(INDEX(Orders!$D:$D,MATCH($C246,Orders!$A:$A,0)),""))</f>
        <v/>
      </c>
      <c r="H246" s="5"/>
      <c r="I246" s="5"/>
      <c r="J246" s="5"/>
      <c r="K246" s="5"/>
      <c r="L246" s="5" t="str">
        <f t="shared" si="3"/>
        <v/>
      </c>
    </row>
    <row r="247" spans="1:12">
      <c r="A247" s="4"/>
      <c r="D247" t="str">
        <f>IF($C247="","",IFERROR(INDEX(Orders!$B:$B,MATCH($C247,Orders!$A:$A,0)),""))</f>
        <v/>
      </c>
      <c r="E247" t="str">
        <f>IF($C247="","",IFERROR(INDEX(Orders!$D:$D,MATCH($C247,Orders!$A:$A,0)),""))</f>
        <v/>
      </c>
      <c r="H247" s="5"/>
      <c r="I247" s="5"/>
      <c r="J247" s="5"/>
      <c r="K247" s="5"/>
      <c r="L247" s="5" t="str">
        <f t="shared" si="3"/>
        <v/>
      </c>
    </row>
    <row r="248" spans="1:12">
      <c r="A248" s="4"/>
      <c r="D248" t="str">
        <f>IF($C248="","",IFERROR(INDEX(Orders!$B:$B,MATCH($C248,Orders!$A:$A,0)),""))</f>
        <v/>
      </c>
      <c r="E248" t="str">
        <f>IF($C248="","",IFERROR(INDEX(Orders!$D:$D,MATCH($C248,Orders!$A:$A,0)),""))</f>
        <v/>
      </c>
      <c r="H248" s="5"/>
      <c r="I248" s="5"/>
      <c r="J248" s="5"/>
      <c r="K248" s="5"/>
      <c r="L248" s="5" t="str">
        <f t="shared" si="3"/>
        <v/>
      </c>
    </row>
    <row r="249" spans="1:12">
      <c r="A249" s="4"/>
      <c r="D249" t="str">
        <f>IF($C249="","",IFERROR(INDEX(Orders!$B:$B,MATCH($C249,Orders!$A:$A,0)),""))</f>
        <v/>
      </c>
      <c r="E249" t="str">
        <f>IF($C249="","",IFERROR(INDEX(Orders!$D:$D,MATCH($C249,Orders!$A:$A,0)),""))</f>
        <v/>
      </c>
      <c r="H249" s="5"/>
      <c r="I249" s="5"/>
      <c r="J249" s="5"/>
      <c r="K249" s="5"/>
      <c r="L249" s="5" t="str">
        <f t="shared" si="3"/>
        <v/>
      </c>
    </row>
    <row r="250" spans="1:12">
      <c r="A250" s="4"/>
      <c r="D250" t="str">
        <f>IF($C250="","",IFERROR(INDEX(Orders!$B:$B,MATCH($C250,Orders!$A:$A,0)),""))</f>
        <v/>
      </c>
      <c r="E250" t="str">
        <f>IF($C250="","",IFERROR(INDEX(Orders!$D:$D,MATCH($C250,Orders!$A:$A,0)),""))</f>
        <v/>
      </c>
      <c r="H250" s="5"/>
      <c r="I250" s="5"/>
      <c r="J250" s="5"/>
      <c r="K250" s="5"/>
      <c r="L250" s="5" t="str">
        <f t="shared" si="3"/>
        <v/>
      </c>
    </row>
    <row r="251" spans="1:12">
      <c r="A251" s="4"/>
      <c r="D251" t="str">
        <f>IF($C251="","",IFERROR(INDEX(Orders!$B:$B,MATCH($C251,Orders!$A:$A,0)),""))</f>
        <v/>
      </c>
      <c r="E251" t="str">
        <f>IF($C251="","",IFERROR(INDEX(Orders!$D:$D,MATCH($C251,Orders!$A:$A,0)),""))</f>
        <v/>
      </c>
      <c r="H251" s="5"/>
      <c r="I251" s="5"/>
      <c r="J251" s="5"/>
      <c r="K251" s="5"/>
      <c r="L251" s="5" t="str">
        <f t="shared" si="3"/>
        <v/>
      </c>
    </row>
    <row r="252" spans="1:12">
      <c r="A252" s="4"/>
      <c r="D252" t="str">
        <f>IF($C252="","",IFERROR(INDEX(Orders!$B:$B,MATCH($C252,Orders!$A:$A,0)),""))</f>
        <v/>
      </c>
      <c r="E252" t="str">
        <f>IF($C252="","",IFERROR(INDEX(Orders!$D:$D,MATCH($C252,Orders!$A:$A,0)),""))</f>
        <v/>
      </c>
      <c r="H252" s="5"/>
      <c r="I252" s="5"/>
      <c r="J252" s="5"/>
      <c r="K252" s="5"/>
      <c r="L252" s="5" t="str">
        <f t="shared" si="3"/>
        <v/>
      </c>
    </row>
    <row r="253" spans="1:12">
      <c r="A253" s="4"/>
      <c r="D253" t="str">
        <f>IF($C253="","",IFERROR(INDEX(Orders!$B:$B,MATCH($C253,Orders!$A:$A,0)),""))</f>
        <v/>
      </c>
      <c r="E253" t="str">
        <f>IF($C253="","",IFERROR(INDEX(Orders!$D:$D,MATCH($C253,Orders!$A:$A,0)),""))</f>
        <v/>
      </c>
      <c r="H253" s="5"/>
      <c r="I253" s="5"/>
      <c r="J253" s="5"/>
      <c r="K253" s="5"/>
      <c r="L253" s="5" t="str">
        <f t="shared" si="3"/>
        <v/>
      </c>
    </row>
    <row r="254" spans="1:12">
      <c r="A254" s="4"/>
      <c r="D254" t="str">
        <f>IF($C254="","",IFERROR(INDEX(Orders!$B:$B,MATCH($C254,Orders!$A:$A,0)),""))</f>
        <v/>
      </c>
      <c r="E254" t="str">
        <f>IF($C254="","",IFERROR(INDEX(Orders!$D:$D,MATCH($C254,Orders!$A:$A,0)),""))</f>
        <v/>
      </c>
      <c r="H254" s="5"/>
      <c r="I254" s="5"/>
      <c r="J254" s="5"/>
      <c r="K254" s="5"/>
      <c r="L254" s="5" t="str">
        <f t="shared" si="3"/>
        <v/>
      </c>
    </row>
    <row r="255" spans="1:12">
      <c r="A255" s="4"/>
      <c r="D255" t="str">
        <f>IF($C255="","",IFERROR(INDEX(Orders!$B:$B,MATCH($C255,Orders!$A:$A,0)),""))</f>
        <v/>
      </c>
      <c r="E255" t="str">
        <f>IF($C255="","",IFERROR(INDEX(Orders!$D:$D,MATCH($C255,Orders!$A:$A,0)),""))</f>
        <v/>
      </c>
      <c r="H255" s="5"/>
      <c r="I255" s="5"/>
      <c r="J255" s="5"/>
      <c r="K255" s="5"/>
      <c r="L255" s="5" t="str">
        <f t="shared" si="3"/>
        <v/>
      </c>
    </row>
    <row r="256" spans="1:12">
      <c r="A256" s="4"/>
      <c r="D256" t="str">
        <f>IF($C256="","",IFERROR(INDEX(Orders!$B:$B,MATCH($C256,Orders!$A:$A,0)),""))</f>
        <v/>
      </c>
      <c r="E256" t="str">
        <f>IF($C256="","",IFERROR(INDEX(Orders!$D:$D,MATCH($C256,Orders!$A:$A,0)),""))</f>
        <v/>
      </c>
      <c r="H256" s="5"/>
      <c r="I256" s="5"/>
      <c r="J256" s="5"/>
      <c r="K256" s="5"/>
      <c r="L256" s="5" t="str">
        <f t="shared" si="3"/>
        <v/>
      </c>
    </row>
    <row r="257" spans="1:12">
      <c r="A257" s="4"/>
      <c r="D257" t="str">
        <f>IF($C257="","",IFERROR(INDEX(Orders!$B:$B,MATCH($C257,Orders!$A:$A,0)),""))</f>
        <v/>
      </c>
      <c r="E257" t="str">
        <f>IF($C257="","",IFERROR(INDEX(Orders!$D:$D,MATCH($C257,Orders!$A:$A,0)),""))</f>
        <v/>
      </c>
      <c r="H257" s="5"/>
      <c r="I257" s="5"/>
      <c r="J257" s="5"/>
      <c r="K257" s="5"/>
      <c r="L257" s="5" t="str">
        <f t="shared" si="3"/>
        <v/>
      </c>
    </row>
    <row r="258" spans="1:12">
      <c r="A258" s="4"/>
      <c r="D258" t="str">
        <f>IF($C258="","",IFERROR(INDEX(Orders!$B:$B,MATCH($C258,Orders!$A:$A,0)),""))</f>
        <v/>
      </c>
      <c r="E258" t="str">
        <f>IF($C258="","",IFERROR(INDEX(Orders!$D:$D,MATCH($C258,Orders!$A:$A,0)),""))</f>
        <v/>
      </c>
      <c r="H258" s="5"/>
      <c r="I258" s="5"/>
      <c r="J258" s="5"/>
      <c r="K258" s="5"/>
      <c r="L258" s="5" t="str">
        <f t="shared" ref="L258:L321" si="4">IF($C258="","",$H258-$I258-$K258)</f>
        <v/>
      </c>
    </row>
    <row r="259" spans="1:12">
      <c r="A259" s="4"/>
      <c r="D259" t="str">
        <f>IF($C259="","",IFERROR(INDEX(Orders!$B:$B,MATCH($C259,Orders!$A:$A,0)),""))</f>
        <v/>
      </c>
      <c r="E259" t="str">
        <f>IF($C259="","",IFERROR(INDEX(Orders!$D:$D,MATCH($C259,Orders!$A:$A,0)),""))</f>
        <v/>
      </c>
      <c r="H259" s="5"/>
      <c r="I259" s="5"/>
      <c r="J259" s="5"/>
      <c r="K259" s="5"/>
      <c r="L259" s="5" t="str">
        <f t="shared" si="4"/>
        <v/>
      </c>
    </row>
    <row r="260" spans="1:12">
      <c r="A260" s="4"/>
      <c r="D260" t="str">
        <f>IF($C260="","",IFERROR(INDEX(Orders!$B:$B,MATCH($C260,Orders!$A:$A,0)),""))</f>
        <v/>
      </c>
      <c r="E260" t="str">
        <f>IF($C260="","",IFERROR(INDEX(Orders!$D:$D,MATCH($C260,Orders!$A:$A,0)),""))</f>
        <v/>
      </c>
      <c r="H260" s="5"/>
      <c r="I260" s="5"/>
      <c r="J260" s="5"/>
      <c r="K260" s="5"/>
      <c r="L260" s="5" t="str">
        <f t="shared" si="4"/>
        <v/>
      </c>
    </row>
    <row r="261" spans="1:12">
      <c r="A261" s="4"/>
      <c r="D261" t="str">
        <f>IF($C261="","",IFERROR(INDEX(Orders!$B:$B,MATCH($C261,Orders!$A:$A,0)),""))</f>
        <v/>
      </c>
      <c r="E261" t="str">
        <f>IF($C261="","",IFERROR(INDEX(Orders!$D:$D,MATCH($C261,Orders!$A:$A,0)),""))</f>
        <v/>
      </c>
      <c r="H261" s="5"/>
      <c r="I261" s="5"/>
      <c r="J261" s="5"/>
      <c r="K261" s="5"/>
      <c r="L261" s="5" t="str">
        <f t="shared" si="4"/>
        <v/>
      </c>
    </row>
    <row r="262" spans="1:12">
      <c r="A262" s="4"/>
      <c r="D262" t="str">
        <f>IF($C262="","",IFERROR(INDEX(Orders!$B:$B,MATCH($C262,Orders!$A:$A,0)),""))</f>
        <v/>
      </c>
      <c r="E262" t="str">
        <f>IF($C262="","",IFERROR(INDEX(Orders!$D:$D,MATCH($C262,Orders!$A:$A,0)),""))</f>
        <v/>
      </c>
      <c r="H262" s="5"/>
      <c r="I262" s="5"/>
      <c r="J262" s="5"/>
      <c r="K262" s="5"/>
      <c r="L262" s="5" t="str">
        <f t="shared" si="4"/>
        <v/>
      </c>
    </row>
    <row r="263" spans="1:12">
      <c r="A263" s="4"/>
      <c r="D263" t="str">
        <f>IF($C263="","",IFERROR(INDEX(Orders!$B:$B,MATCH($C263,Orders!$A:$A,0)),""))</f>
        <v/>
      </c>
      <c r="E263" t="str">
        <f>IF($C263="","",IFERROR(INDEX(Orders!$D:$D,MATCH($C263,Orders!$A:$A,0)),""))</f>
        <v/>
      </c>
      <c r="H263" s="5"/>
      <c r="I263" s="5"/>
      <c r="J263" s="5"/>
      <c r="K263" s="5"/>
      <c r="L263" s="5" t="str">
        <f t="shared" si="4"/>
        <v/>
      </c>
    </row>
    <row r="264" spans="1:12">
      <c r="A264" s="4"/>
      <c r="D264" t="str">
        <f>IF($C264="","",IFERROR(INDEX(Orders!$B:$B,MATCH($C264,Orders!$A:$A,0)),""))</f>
        <v/>
      </c>
      <c r="E264" t="str">
        <f>IF($C264="","",IFERROR(INDEX(Orders!$D:$D,MATCH($C264,Orders!$A:$A,0)),""))</f>
        <v/>
      </c>
      <c r="H264" s="5"/>
      <c r="I264" s="5"/>
      <c r="J264" s="5"/>
      <c r="K264" s="5"/>
      <c r="L264" s="5" t="str">
        <f t="shared" si="4"/>
        <v/>
      </c>
    </row>
    <row r="265" spans="1:12">
      <c r="A265" s="4"/>
      <c r="D265" t="str">
        <f>IF($C265="","",IFERROR(INDEX(Orders!$B:$B,MATCH($C265,Orders!$A:$A,0)),""))</f>
        <v/>
      </c>
      <c r="E265" t="str">
        <f>IF($C265="","",IFERROR(INDEX(Orders!$D:$D,MATCH($C265,Orders!$A:$A,0)),""))</f>
        <v/>
      </c>
      <c r="H265" s="5"/>
      <c r="I265" s="5"/>
      <c r="J265" s="5"/>
      <c r="K265" s="5"/>
      <c r="L265" s="5" t="str">
        <f t="shared" si="4"/>
        <v/>
      </c>
    </row>
    <row r="266" spans="1:12">
      <c r="A266" s="4"/>
      <c r="D266" t="str">
        <f>IF($C266="","",IFERROR(INDEX(Orders!$B:$B,MATCH($C266,Orders!$A:$A,0)),""))</f>
        <v/>
      </c>
      <c r="E266" t="str">
        <f>IF($C266="","",IFERROR(INDEX(Orders!$D:$D,MATCH($C266,Orders!$A:$A,0)),""))</f>
        <v/>
      </c>
      <c r="H266" s="5"/>
      <c r="I266" s="5"/>
      <c r="J266" s="5"/>
      <c r="K266" s="5"/>
      <c r="L266" s="5" t="str">
        <f t="shared" si="4"/>
        <v/>
      </c>
    </row>
    <row r="267" spans="1:12">
      <c r="A267" s="4"/>
      <c r="D267" t="str">
        <f>IF($C267="","",IFERROR(INDEX(Orders!$B:$B,MATCH($C267,Orders!$A:$A,0)),""))</f>
        <v/>
      </c>
      <c r="E267" t="str">
        <f>IF($C267="","",IFERROR(INDEX(Orders!$D:$D,MATCH($C267,Orders!$A:$A,0)),""))</f>
        <v/>
      </c>
      <c r="H267" s="5"/>
      <c r="I267" s="5"/>
      <c r="J267" s="5"/>
      <c r="K267" s="5"/>
      <c r="L267" s="5" t="str">
        <f t="shared" si="4"/>
        <v/>
      </c>
    </row>
    <row r="268" spans="1:12">
      <c r="A268" s="4"/>
      <c r="D268" t="str">
        <f>IF($C268="","",IFERROR(INDEX(Orders!$B:$B,MATCH($C268,Orders!$A:$A,0)),""))</f>
        <v/>
      </c>
      <c r="E268" t="str">
        <f>IF($C268="","",IFERROR(INDEX(Orders!$D:$D,MATCH($C268,Orders!$A:$A,0)),""))</f>
        <v/>
      </c>
      <c r="H268" s="5"/>
      <c r="I268" s="5"/>
      <c r="J268" s="5"/>
      <c r="K268" s="5"/>
      <c r="L268" s="5" t="str">
        <f t="shared" si="4"/>
        <v/>
      </c>
    </row>
    <row r="269" spans="1:12">
      <c r="A269" s="4"/>
      <c r="D269" t="str">
        <f>IF($C269="","",IFERROR(INDEX(Orders!$B:$B,MATCH($C269,Orders!$A:$A,0)),""))</f>
        <v/>
      </c>
      <c r="E269" t="str">
        <f>IF($C269="","",IFERROR(INDEX(Orders!$D:$D,MATCH($C269,Orders!$A:$A,0)),""))</f>
        <v/>
      </c>
      <c r="H269" s="5"/>
      <c r="I269" s="5"/>
      <c r="J269" s="5"/>
      <c r="K269" s="5"/>
      <c r="L269" s="5" t="str">
        <f t="shared" si="4"/>
        <v/>
      </c>
    </row>
    <row r="270" spans="1:12">
      <c r="A270" s="4"/>
      <c r="D270" t="str">
        <f>IF($C270="","",IFERROR(INDEX(Orders!$B:$B,MATCH($C270,Orders!$A:$A,0)),""))</f>
        <v/>
      </c>
      <c r="E270" t="str">
        <f>IF($C270="","",IFERROR(INDEX(Orders!$D:$D,MATCH($C270,Orders!$A:$A,0)),""))</f>
        <v/>
      </c>
      <c r="H270" s="5"/>
      <c r="I270" s="5"/>
      <c r="J270" s="5"/>
      <c r="K270" s="5"/>
      <c r="L270" s="5" t="str">
        <f t="shared" si="4"/>
        <v/>
      </c>
    </row>
    <row r="271" spans="1:12">
      <c r="A271" s="4"/>
      <c r="D271" t="str">
        <f>IF($C271="","",IFERROR(INDEX(Orders!$B:$B,MATCH($C271,Orders!$A:$A,0)),""))</f>
        <v/>
      </c>
      <c r="E271" t="str">
        <f>IF($C271="","",IFERROR(INDEX(Orders!$D:$D,MATCH($C271,Orders!$A:$A,0)),""))</f>
        <v/>
      </c>
      <c r="H271" s="5"/>
      <c r="I271" s="5"/>
      <c r="J271" s="5"/>
      <c r="K271" s="5"/>
      <c r="L271" s="5" t="str">
        <f t="shared" si="4"/>
        <v/>
      </c>
    </row>
    <row r="272" spans="1:12">
      <c r="A272" s="4"/>
      <c r="D272" t="str">
        <f>IF($C272="","",IFERROR(INDEX(Orders!$B:$B,MATCH($C272,Orders!$A:$A,0)),""))</f>
        <v/>
      </c>
      <c r="E272" t="str">
        <f>IF($C272="","",IFERROR(INDEX(Orders!$D:$D,MATCH($C272,Orders!$A:$A,0)),""))</f>
        <v/>
      </c>
      <c r="H272" s="5"/>
      <c r="I272" s="5"/>
      <c r="J272" s="5"/>
      <c r="K272" s="5"/>
      <c r="L272" s="5" t="str">
        <f t="shared" si="4"/>
        <v/>
      </c>
    </row>
    <row r="273" spans="1:12">
      <c r="A273" s="4"/>
      <c r="D273" t="str">
        <f>IF($C273="","",IFERROR(INDEX(Orders!$B:$B,MATCH($C273,Orders!$A:$A,0)),""))</f>
        <v/>
      </c>
      <c r="E273" t="str">
        <f>IF($C273="","",IFERROR(INDEX(Orders!$D:$D,MATCH($C273,Orders!$A:$A,0)),""))</f>
        <v/>
      </c>
      <c r="H273" s="5"/>
      <c r="I273" s="5"/>
      <c r="J273" s="5"/>
      <c r="K273" s="5"/>
      <c r="L273" s="5" t="str">
        <f t="shared" si="4"/>
        <v/>
      </c>
    </row>
    <row r="274" spans="1:12">
      <c r="A274" s="4"/>
      <c r="D274" t="str">
        <f>IF($C274="","",IFERROR(INDEX(Orders!$B:$B,MATCH($C274,Orders!$A:$A,0)),""))</f>
        <v/>
      </c>
      <c r="E274" t="str">
        <f>IF($C274="","",IFERROR(INDEX(Orders!$D:$D,MATCH($C274,Orders!$A:$A,0)),""))</f>
        <v/>
      </c>
      <c r="H274" s="5"/>
      <c r="I274" s="5"/>
      <c r="J274" s="5"/>
      <c r="K274" s="5"/>
      <c r="L274" s="5" t="str">
        <f t="shared" si="4"/>
        <v/>
      </c>
    </row>
    <row r="275" spans="1:12">
      <c r="A275" s="4"/>
      <c r="D275" t="str">
        <f>IF($C275="","",IFERROR(INDEX(Orders!$B:$B,MATCH($C275,Orders!$A:$A,0)),""))</f>
        <v/>
      </c>
      <c r="E275" t="str">
        <f>IF($C275="","",IFERROR(INDEX(Orders!$D:$D,MATCH($C275,Orders!$A:$A,0)),""))</f>
        <v/>
      </c>
      <c r="H275" s="5"/>
      <c r="I275" s="5"/>
      <c r="J275" s="5"/>
      <c r="K275" s="5"/>
      <c r="L275" s="5" t="str">
        <f t="shared" si="4"/>
        <v/>
      </c>
    </row>
    <row r="276" spans="1:12">
      <c r="A276" s="4"/>
      <c r="D276" t="str">
        <f>IF($C276="","",IFERROR(INDEX(Orders!$B:$B,MATCH($C276,Orders!$A:$A,0)),""))</f>
        <v/>
      </c>
      <c r="E276" t="str">
        <f>IF($C276="","",IFERROR(INDEX(Orders!$D:$D,MATCH($C276,Orders!$A:$A,0)),""))</f>
        <v/>
      </c>
      <c r="H276" s="5"/>
      <c r="I276" s="5"/>
      <c r="J276" s="5"/>
      <c r="K276" s="5"/>
      <c r="L276" s="5" t="str">
        <f t="shared" si="4"/>
        <v/>
      </c>
    </row>
    <row r="277" spans="1:12">
      <c r="A277" s="4"/>
      <c r="D277" t="str">
        <f>IF($C277="","",IFERROR(INDEX(Orders!$B:$B,MATCH($C277,Orders!$A:$A,0)),""))</f>
        <v/>
      </c>
      <c r="E277" t="str">
        <f>IF($C277="","",IFERROR(INDEX(Orders!$D:$D,MATCH($C277,Orders!$A:$A,0)),""))</f>
        <v/>
      </c>
      <c r="H277" s="5"/>
      <c r="I277" s="5"/>
      <c r="J277" s="5"/>
      <c r="K277" s="5"/>
      <c r="L277" s="5" t="str">
        <f t="shared" si="4"/>
        <v/>
      </c>
    </row>
    <row r="278" spans="1:12">
      <c r="A278" s="4"/>
      <c r="D278" t="str">
        <f>IF($C278="","",IFERROR(INDEX(Orders!$B:$B,MATCH($C278,Orders!$A:$A,0)),""))</f>
        <v/>
      </c>
      <c r="E278" t="str">
        <f>IF($C278="","",IFERROR(INDEX(Orders!$D:$D,MATCH($C278,Orders!$A:$A,0)),""))</f>
        <v/>
      </c>
      <c r="H278" s="5"/>
      <c r="I278" s="5"/>
      <c r="J278" s="5"/>
      <c r="K278" s="5"/>
      <c r="L278" s="5" t="str">
        <f t="shared" si="4"/>
        <v/>
      </c>
    </row>
    <row r="279" spans="1:12">
      <c r="A279" s="4"/>
      <c r="D279" t="str">
        <f>IF($C279="","",IFERROR(INDEX(Orders!$B:$B,MATCH($C279,Orders!$A:$A,0)),""))</f>
        <v/>
      </c>
      <c r="E279" t="str">
        <f>IF($C279="","",IFERROR(INDEX(Orders!$D:$D,MATCH($C279,Orders!$A:$A,0)),""))</f>
        <v/>
      </c>
      <c r="H279" s="5"/>
      <c r="I279" s="5"/>
      <c r="J279" s="5"/>
      <c r="K279" s="5"/>
      <c r="L279" s="5" t="str">
        <f t="shared" si="4"/>
        <v/>
      </c>
    </row>
    <row r="280" spans="1:12">
      <c r="A280" s="4"/>
      <c r="D280" t="str">
        <f>IF($C280="","",IFERROR(INDEX(Orders!$B:$B,MATCH($C280,Orders!$A:$A,0)),""))</f>
        <v/>
      </c>
      <c r="E280" t="str">
        <f>IF($C280="","",IFERROR(INDEX(Orders!$D:$D,MATCH($C280,Orders!$A:$A,0)),""))</f>
        <v/>
      </c>
      <c r="H280" s="5"/>
      <c r="I280" s="5"/>
      <c r="J280" s="5"/>
      <c r="K280" s="5"/>
      <c r="L280" s="5" t="str">
        <f t="shared" si="4"/>
        <v/>
      </c>
    </row>
    <row r="281" spans="1:12">
      <c r="A281" s="4"/>
      <c r="D281" t="str">
        <f>IF($C281="","",IFERROR(INDEX(Orders!$B:$B,MATCH($C281,Orders!$A:$A,0)),""))</f>
        <v/>
      </c>
      <c r="E281" t="str">
        <f>IF($C281="","",IFERROR(INDEX(Orders!$D:$D,MATCH($C281,Orders!$A:$A,0)),""))</f>
        <v/>
      </c>
      <c r="H281" s="5"/>
      <c r="I281" s="5"/>
      <c r="J281" s="5"/>
      <c r="K281" s="5"/>
      <c r="L281" s="5" t="str">
        <f t="shared" si="4"/>
        <v/>
      </c>
    </row>
    <row r="282" spans="1:12">
      <c r="A282" s="4"/>
      <c r="D282" t="str">
        <f>IF($C282="","",IFERROR(INDEX(Orders!$B:$B,MATCH($C282,Orders!$A:$A,0)),""))</f>
        <v/>
      </c>
      <c r="E282" t="str">
        <f>IF($C282="","",IFERROR(INDEX(Orders!$D:$D,MATCH($C282,Orders!$A:$A,0)),""))</f>
        <v/>
      </c>
      <c r="H282" s="5"/>
      <c r="I282" s="5"/>
      <c r="J282" s="5"/>
      <c r="K282" s="5"/>
      <c r="L282" s="5" t="str">
        <f t="shared" si="4"/>
        <v/>
      </c>
    </row>
    <row r="283" spans="1:12">
      <c r="A283" s="4"/>
      <c r="D283" t="str">
        <f>IF($C283="","",IFERROR(INDEX(Orders!$B:$B,MATCH($C283,Orders!$A:$A,0)),""))</f>
        <v/>
      </c>
      <c r="E283" t="str">
        <f>IF($C283="","",IFERROR(INDEX(Orders!$D:$D,MATCH($C283,Orders!$A:$A,0)),""))</f>
        <v/>
      </c>
      <c r="H283" s="5"/>
      <c r="I283" s="5"/>
      <c r="J283" s="5"/>
      <c r="K283" s="5"/>
      <c r="L283" s="5" t="str">
        <f t="shared" si="4"/>
        <v/>
      </c>
    </row>
    <row r="284" spans="1:12">
      <c r="A284" s="4"/>
      <c r="D284" t="str">
        <f>IF($C284="","",IFERROR(INDEX(Orders!$B:$B,MATCH($C284,Orders!$A:$A,0)),""))</f>
        <v/>
      </c>
      <c r="E284" t="str">
        <f>IF($C284="","",IFERROR(INDEX(Orders!$D:$D,MATCH($C284,Orders!$A:$A,0)),""))</f>
        <v/>
      </c>
      <c r="H284" s="5"/>
      <c r="I284" s="5"/>
      <c r="J284" s="5"/>
      <c r="K284" s="5"/>
      <c r="L284" s="5" t="str">
        <f t="shared" si="4"/>
        <v/>
      </c>
    </row>
    <row r="285" spans="1:12">
      <c r="A285" s="4"/>
      <c r="D285" t="str">
        <f>IF($C285="","",IFERROR(INDEX(Orders!$B:$B,MATCH($C285,Orders!$A:$A,0)),""))</f>
        <v/>
      </c>
      <c r="E285" t="str">
        <f>IF($C285="","",IFERROR(INDEX(Orders!$D:$D,MATCH($C285,Orders!$A:$A,0)),""))</f>
        <v/>
      </c>
      <c r="H285" s="5"/>
      <c r="I285" s="5"/>
      <c r="J285" s="5"/>
      <c r="K285" s="5"/>
      <c r="L285" s="5" t="str">
        <f t="shared" si="4"/>
        <v/>
      </c>
    </row>
    <row r="286" spans="1:12">
      <c r="A286" s="4"/>
      <c r="D286" t="str">
        <f>IF($C286="","",IFERROR(INDEX(Orders!$B:$B,MATCH($C286,Orders!$A:$A,0)),""))</f>
        <v/>
      </c>
      <c r="E286" t="str">
        <f>IF($C286="","",IFERROR(INDEX(Orders!$D:$D,MATCH($C286,Orders!$A:$A,0)),""))</f>
        <v/>
      </c>
      <c r="H286" s="5"/>
      <c r="I286" s="5"/>
      <c r="J286" s="5"/>
      <c r="K286" s="5"/>
      <c r="L286" s="5" t="str">
        <f t="shared" si="4"/>
        <v/>
      </c>
    </row>
    <row r="287" spans="1:12">
      <c r="A287" s="4"/>
      <c r="D287" t="str">
        <f>IF($C287="","",IFERROR(INDEX(Orders!$B:$B,MATCH($C287,Orders!$A:$A,0)),""))</f>
        <v/>
      </c>
      <c r="E287" t="str">
        <f>IF($C287="","",IFERROR(INDEX(Orders!$D:$D,MATCH($C287,Orders!$A:$A,0)),""))</f>
        <v/>
      </c>
      <c r="H287" s="5"/>
      <c r="I287" s="5"/>
      <c r="J287" s="5"/>
      <c r="K287" s="5"/>
      <c r="L287" s="5" t="str">
        <f t="shared" si="4"/>
        <v/>
      </c>
    </row>
    <row r="288" spans="1:12">
      <c r="A288" s="4"/>
      <c r="D288" t="str">
        <f>IF($C288="","",IFERROR(INDEX(Orders!$B:$B,MATCH($C288,Orders!$A:$A,0)),""))</f>
        <v/>
      </c>
      <c r="E288" t="str">
        <f>IF($C288="","",IFERROR(INDEX(Orders!$D:$D,MATCH($C288,Orders!$A:$A,0)),""))</f>
        <v/>
      </c>
      <c r="H288" s="5"/>
      <c r="I288" s="5"/>
      <c r="J288" s="5"/>
      <c r="K288" s="5"/>
      <c r="L288" s="5" t="str">
        <f t="shared" si="4"/>
        <v/>
      </c>
    </row>
    <row r="289" spans="1:12">
      <c r="A289" s="4"/>
      <c r="D289" t="str">
        <f>IF($C289="","",IFERROR(INDEX(Orders!$B:$B,MATCH($C289,Orders!$A:$A,0)),""))</f>
        <v/>
      </c>
      <c r="E289" t="str">
        <f>IF($C289="","",IFERROR(INDEX(Orders!$D:$D,MATCH($C289,Orders!$A:$A,0)),""))</f>
        <v/>
      </c>
      <c r="H289" s="5"/>
      <c r="I289" s="5"/>
      <c r="J289" s="5"/>
      <c r="K289" s="5"/>
      <c r="L289" s="5" t="str">
        <f t="shared" si="4"/>
        <v/>
      </c>
    </row>
    <row r="290" spans="1:12">
      <c r="A290" s="4"/>
      <c r="D290" t="str">
        <f>IF($C290="","",IFERROR(INDEX(Orders!$B:$B,MATCH($C290,Orders!$A:$A,0)),""))</f>
        <v/>
      </c>
      <c r="E290" t="str">
        <f>IF($C290="","",IFERROR(INDEX(Orders!$D:$D,MATCH($C290,Orders!$A:$A,0)),""))</f>
        <v/>
      </c>
      <c r="H290" s="5"/>
      <c r="I290" s="5"/>
      <c r="J290" s="5"/>
      <c r="K290" s="5"/>
      <c r="L290" s="5" t="str">
        <f t="shared" si="4"/>
        <v/>
      </c>
    </row>
    <row r="291" spans="1:12">
      <c r="A291" s="4"/>
      <c r="D291" t="str">
        <f>IF($C291="","",IFERROR(INDEX(Orders!$B:$B,MATCH($C291,Orders!$A:$A,0)),""))</f>
        <v/>
      </c>
      <c r="E291" t="str">
        <f>IF($C291="","",IFERROR(INDEX(Orders!$D:$D,MATCH($C291,Orders!$A:$A,0)),""))</f>
        <v/>
      </c>
      <c r="H291" s="5"/>
      <c r="I291" s="5"/>
      <c r="J291" s="5"/>
      <c r="K291" s="5"/>
      <c r="L291" s="5" t="str">
        <f t="shared" si="4"/>
        <v/>
      </c>
    </row>
    <row r="292" spans="1:12">
      <c r="A292" s="4"/>
      <c r="D292" t="str">
        <f>IF($C292="","",IFERROR(INDEX(Orders!$B:$B,MATCH($C292,Orders!$A:$A,0)),""))</f>
        <v/>
      </c>
      <c r="E292" t="str">
        <f>IF($C292="","",IFERROR(INDEX(Orders!$D:$D,MATCH($C292,Orders!$A:$A,0)),""))</f>
        <v/>
      </c>
      <c r="H292" s="5"/>
      <c r="I292" s="5"/>
      <c r="J292" s="5"/>
      <c r="K292" s="5"/>
      <c r="L292" s="5" t="str">
        <f t="shared" si="4"/>
        <v/>
      </c>
    </row>
    <row r="293" spans="1:12">
      <c r="A293" s="4"/>
      <c r="D293" t="str">
        <f>IF($C293="","",IFERROR(INDEX(Orders!$B:$B,MATCH($C293,Orders!$A:$A,0)),""))</f>
        <v/>
      </c>
      <c r="E293" t="str">
        <f>IF($C293="","",IFERROR(INDEX(Orders!$D:$D,MATCH($C293,Orders!$A:$A,0)),""))</f>
        <v/>
      </c>
      <c r="H293" s="5"/>
      <c r="I293" s="5"/>
      <c r="J293" s="5"/>
      <c r="K293" s="5"/>
      <c r="L293" s="5" t="str">
        <f t="shared" si="4"/>
        <v/>
      </c>
    </row>
    <row r="294" spans="1:12">
      <c r="A294" s="4"/>
      <c r="D294" t="str">
        <f>IF($C294="","",IFERROR(INDEX(Orders!$B:$B,MATCH($C294,Orders!$A:$A,0)),""))</f>
        <v/>
      </c>
      <c r="E294" t="str">
        <f>IF($C294="","",IFERROR(INDEX(Orders!$D:$D,MATCH($C294,Orders!$A:$A,0)),""))</f>
        <v/>
      </c>
      <c r="H294" s="5"/>
      <c r="I294" s="5"/>
      <c r="J294" s="5"/>
      <c r="K294" s="5"/>
      <c r="L294" s="5" t="str">
        <f t="shared" si="4"/>
        <v/>
      </c>
    </row>
    <row r="295" spans="1:12">
      <c r="A295" s="4"/>
      <c r="D295" t="str">
        <f>IF($C295="","",IFERROR(INDEX(Orders!$B:$B,MATCH($C295,Orders!$A:$A,0)),""))</f>
        <v/>
      </c>
      <c r="E295" t="str">
        <f>IF($C295="","",IFERROR(INDEX(Orders!$D:$D,MATCH($C295,Orders!$A:$A,0)),""))</f>
        <v/>
      </c>
      <c r="H295" s="5"/>
      <c r="I295" s="5"/>
      <c r="J295" s="5"/>
      <c r="K295" s="5"/>
      <c r="L295" s="5" t="str">
        <f t="shared" si="4"/>
        <v/>
      </c>
    </row>
    <row r="296" spans="1:12">
      <c r="A296" s="4"/>
      <c r="D296" t="str">
        <f>IF($C296="","",IFERROR(INDEX(Orders!$B:$B,MATCH($C296,Orders!$A:$A,0)),""))</f>
        <v/>
      </c>
      <c r="E296" t="str">
        <f>IF($C296="","",IFERROR(INDEX(Orders!$D:$D,MATCH($C296,Orders!$A:$A,0)),""))</f>
        <v/>
      </c>
      <c r="H296" s="5"/>
      <c r="I296" s="5"/>
      <c r="J296" s="5"/>
      <c r="K296" s="5"/>
      <c r="L296" s="5" t="str">
        <f t="shared" si="4"/>
        <v/>
      </c>
    </row>
    <row r="297" spans="1:12">
      <c r="A297" s="4"/>
      <c r="D297" t="str">
        <f>IF($C297="","",IFERROR(INDEX(Orders!$B:$B,MATCH($C297,Orders!$A:$A,0)),""))</f>
        <v/>
      </c>
      <c r="E297" t="str">
        <f>IF($C297="","",IFERROR(INDEX(Orders!$D:$D,MATCH($C297,Orders!$A:$A,0)),""))</f>
        <v/>
      </c>
      <c r="H297" s="5"/>
      <c r="I297" s="5"/>
      <c r="J297" s="5"/>
      <c r="K297" s="5"/>
      <c r="L297" s="5" t="str">
        <f t="shared" si="4"/>
        <v/>
      </c>
    </row>
    <row r="298" spans="1:12">
      <c r="A298" s="4"/>
      <c r="D298" t="str">
        <f>IF($C298="","",IFERROR(INDEX(Orders!$B:$B,MATCH($C298,Orders!$A:$A,0)),""))</f>
        <v/>
      </c>
      <c r="E298" t="str">
        <f>IF($C298="","",IFERROR(INDEX(Orders!$D:$D,MATCH($C298,Orders!$A:$A,0)),""))</f>
        <v/>
      </c>
      <c r="H298" s="5"/>
      <c r="I298" s="5"/>
      <c r="J298" s="5"/>
      <c r="K298" s="5"/>
      <c r="L298" s="5" t="str">
        <f t="shared" si="4"/>
        <v/>
      </c>
    </row>
    <row r="299" spans="1:12">
      <c r="A299" s="4"/>
      <c r="D299" t="str">
        <f>IF($C299="","",IFERROR(INDEX(Orders!$B:$B,MATCH($C299,Orders!$A:$A,0)),""))</f>
        <v/>
      </c>
      <c r="E299" t="str">
        <f>IF($C299="","",IFERROR(INDEX(Orders!$D:$D,MATCH($C299,Orders!$A:$A,0)),""))</f>
        <v/>
      </c>
      <c r="H299" s="5"/>
      <c r="I299" s="5"/>
      <c r="J299" s="5"/>
      <c r="K299" s="5"/>
      <c r="L299" s="5" t="str">
        <f t="shared" si="4"/>
        <v/>
      </c>
    </row>
    <row r="300" spans="1:12">
      <c r="A300" s="4"/>
      <c r="D300" t="str">
        <f>IF($C300="","",IFERROR(INDEX(Orders!$B:$B,MATCH($C300,Orders!$A:$A,0)),""))</f>
        <v/>
      </c>
      <c r="E300" t="str">
        <f>IF($C300="","",IFERROR(INDEX(Orders!$D:$D,MATCH($C300,Orders!$A:$A,0)),""))</f>
        <v/>
      </c>
      <c r="H300" s="5"/>
      <c r="I300" s="5"/>
      <c r="J300" s="5"/>
      <c r="K300" s="5"/>
      <c r="L300" s="5" t="str">
        <f t="shared" si="4"/>
        <v/>
      </c>
    </row>
    <row r="301" spans="1:12">
      <c r="A301" s="4"/>
      <c r="D301" t="str">
        <f>IF($C301="","",IFERROR(INDEX(Orders!$B:$B,MATCH($C301,Orders!$A:$A,0)),""))</f>
        <v/>
      </c>
      <c r="E301" t="str">
        <f>IF($C301="","",IFERROR(INDEX(Orders!$D:$D,MATCH($C301,Orders!$A:$A,0)),""))</f>
        <v/>
      </c>
      <c r="H301" s="5"/>
      <c r="I301" s="5"/>
      <c r="J301" s="5"/>
      <c r="K301" s="5"/>
      <c r="L301" s="5" t="str">
        <f t="shared" si="4"/>
        <v/>
      </c>
    </row>
    <row r="302" spans="1:12">
      <c r="A302" s="4"/>
      <c r="D302" t="str">
        <f>IF($C302="","",IFERROR(INDEX(Orders!$B:$B,MATCH($C302,Orders!$A:$A,0)),""))</f>
        <v/>
      </c>
      <c r="E302" t="str">
        <f>IF($C302="","",IFERROR(INDEX(Orders!$D:$D,MATCH($C302,Orders!$A:$A,0)),""))</f>
        <v/>
      </c>
      <c r="H302" s="5"/>
      <c r="I302" s="5"/>
      <c r="J302" s="5"/>
      <c r="K302" s="5"/>
      <c r="L302" s="5" t="str">
        <f t="shared" si="4"/>
        <v/>
      </c>
    </row>
    <row r="303" spans="1:12">
      <c r="A303" s="4"/>
      <c r="D303" t="str">
        <f>IF($C303="","",IFERROR(INDEX(Orders!$B:$B,MATCH($C303,Orders!$A:$A,0)),""))</f>
        <v/>
      </c>
      <c r="E303" t="str">
        <f>IF($C303="","",IFERROR(INDEX(Orders!$D:$D,MATCH($C303,Orders!$A:$A,0)),""))</f>
        <v/>
      </c>
      <c r="H303" s="5"/>
      <c r="I303" s="5"/>
      <c r="J303" s="5"/>
      <c r="K303" s="5"/>
      <c r="L303" s="5" t="str">
        <f t="shared" si="4"/>
        <v/>
      </c>
    </row>
    <row r="304" spans="1:12">
      <c r="A304" s="4"/>
      <c r="D304" t="str">
        <f>IF($C304="","",IFERROR(INDEX(Orders!$B:$B,MATCH($C304,Orders!$A:$A,0)),""))</f>
        <v/>
      </c>
      <c r="E304" t="str">
        <f>IF($C304="","",IFERROR(INDEX(Orders!$D:$D,MATCH($C304,Orders!$A:$A,0)),""))</f>
        <v/>
      </c>
      <c r="H304" s="5"/>
      <c r="I304" s="5"/>
      <c r="J304" s="5"/>
      <c r="K304" s="5"/>
      <c r="L304" s="5" t="str">
        <f t="shared" si="4"/>
        <v/>
      </c>
    </row>
    <row r="305" spans="1:12">
      <c r="A305" s="4"/>
      <c r="D305" t="str">
        <f>IF($C305="","",IFERROR(INDEX(Orders!$B:$B,MATCH($C305,Orders!$A:$A,0)),""))</f>
        <v/>
      </c>
      <c r="E305" t="str">
        <f>IF($C305="","",IFERROR(INDEX(Orders!$D:$D,MATCH($C305,Orders!$A:$A,0)),""))</f>
        <v/>
      </c>
      <c r="H305" s="5"/>
      <c r="I305" s="5"/>
      <c r="J305" s="5"/>
      <c r="K305" s="5"/>
      <c r="L305" s="5" t="str">
        <f t="shared" si="4"/>
        <v/>
      </c>
    </row>
    <row r="306" spans="1:12">
      <c r="A306" s="4"/>
      <c r="D306" t="str">
        <f>IF($C306="","",IFERROR(INDEX(Orders!$B:$B,MATCH($C306,Orders!$A:$A,0)),""))</f>
        <v/>
      </c>
      <c r="E306" t="str">
        <f>IF($C306="","",IFERROR(INDEX(Orders!$D:$D,MATCH($C306,Orders!$A:$A,0)),""))</f>
        <v/>
      </c>
      <c r="H306" s="5"/>
      <c r="I306" s="5"/>
      <c r="J306" s="5"/>
      <c r="K306" s="5"/>
      <c r="L306" s="5" t="str">
        <f t="shared" si="4"/>
        <v/>
      </c>
    </row>
    <row r="307" spans="1:12">
      <c r="A307" s="4"/>
      <c r="D307" t="str">
        <f>IF($C307="","",IFERROR(INDEX(Orders!$B:$B,MATCH($C307,Orders!$A:$A,0)),""))</f>
        <v/>
      </c>
      <c r="E307" t="str">
        <f>IF($C307="","",IFERROR(INDEX(Orders!$D:$D,MATCH($C307,Orders!$A:$A,0)),""))</f>
        <v/>
      </c>
      <c r="H307" s="5"/>
      <c r="I307" s="5"/>
      <c r="J307" s="5"/>
      <c r="K307" s="5"/>
      <c r="L307" s="5" t="str">
        <f t="shared" si="4"/>
        <v/>
      </c>
    </row>
    <row r="308" spans="1:12">
      <c r="A308" s="4"/>
      <c r="D308" t="str">
        <f>IF($C308="","",IFERROR(INDEX(Orders!$B:$B,MATCH($C308,Orders!$A:$A,0)),""))</f>
        <v/>
      </c>
      <c r="E308" t="str">
        <f>IF($C308="","",IFERROR(INDEX(Orders!$D:$D,MATCH($C308,Orders!$A:$A,0)),""))</f>
        <v/>
      </c>
      <c r="H308" s="5"/>
      <c r="I308" s="5"/>
      <c r="J308" s="5"/>
      <c r="K308" s="5"/>
      <c r="L308" s="5" t="str">
        <f t="shared" si="4"/>
        <v/>
      </c>
    </row>
    <row r="309" spans="1:12">
      <c r="A309" s="4"/>
      <c r="D309" t="str">
        <f>IF($C309="","",IFERROR(INDEX(Orders!$B:$B,MATCH($C309,Orders!$A:$A,0)),""))</f>
        <v/>
      </c>
      <c r="E309" t="str">
        <f>IF($C309="","",IFERROR(INDEX(Orders!$D:$D,MATCH($C309,Orders!$A:$A,0)),""))</f>
        <v/>
      </c>
      <c r="H309" s="5"/>
      <c r="I309" s="5"/>
      <c r="J309" s="5"/>
      <c r="K309" s="5"/>
      <c r="L309" s="5" t="str">
        <f t="shared" si="4"/>
        <v/>
      </c>
    </row>
    <row r="310" spans="1:12">
      <c r="A310" s="4"/>
      <c r="D310" t="str">
        <f>IF($C310="","",IFERROR(INDEX(Orders!$B:$B,MATCH($C310,Orders!$A:$A,0)),""))</f>
        <v/>
      </c>
      <c r="E310" t="str">
        <f>IF($C310="","",IFERROR(INDEX(Orders!$D:$D,MATCH($C310,Orders!$A:$A,0)),""))</f>
        <v/>
      </c>
      <c r="H310" s="5"/>
      <c r="I310" s="5"/>
      <c r="J310" s="5"/>
      <c r="K310" s="5"/>
      <c r="L310" s="5" t="str">
        <f t="shared" si="4"/>
        <v/>
      </c>
    </row>
    <row r="311" spans="1:12">
      <c r="A311" s="4"/>
      <c r="D311" t="str">
        <f>IF($C311="","",IFERROR(INDEX(Orders!$B:$B,MATCH($C311,Orders!$A:$A,0)),""))</f>
        <v/>
      </c>
      <c r="E311" t="str">
        <f>IF($C311="","",IFERROR(INDEX(Orders!$D:$D,MATCH($C311,Orders!$A:$A,0)),""))</f>
        <v/>
      </c>
      <c r="H311" s="5"/>
      <c r="I311" s="5"/>
      <c r="J311" s="5"/>
      <c r="K311" s="5"/>
      <c r="L311" s="5" t="str">
        <f t="shared" si="4"/>
        <v/>
      </c>
    </row>
    <row r="312" spans="1:12">
      <c r="A312" s="4"/>
      <c r="D312" t="str">
        <f>IF($C312="","",IFERROR(INDEX(Orders!$B:$B,MATCH($C312,Orders!$A:$A,0)),""))</f>
        <v/>
      </c>
      <c r="E312" t="str">
        <f>IF($C312="","",IFERROR(INDEX(Orders!$D:$D,MATCH($C312,Orders!$A:$A,0)),""))</f>
        <v/>
      </c>
      <c r="H312" s="5"/>
      <c r="I312" s="5"/>
      <c r="J312" s="5"/>
      <c r="K312" s="5"/>
      <c r="L312" s="5" t="str">
        <f t="shared" si="4"/>
        <v/>
      </c>
    </row>
    <row r="313" spans="1:12">
      <c r="A313" s="4"/>
      <c r="D313" t="str">
        <f>IF($C313="","",IFERROR(INDEX(Orders!$B:$B,MATCH($C313,Orders!$A:$A,0)),""))</f>
        <v/>
      </c>
      <c r="E313" t="str">
        <f>IF($C313="","",IFERROR(INDEX(Orders!$D:$D,MATCH($C313,Orders!$A:$A,0)),""))</f>
        <v/>
      </c>
      <c r="H313" s="5"/>
      <c r="I313" s="5"/>
      <c r="J313" s="5"/>
      <c r="K313" s="5"/>
      <c r="L313" s="5" t="str">
        <f t="shared" si="4"/>
        <v/>
      </c>
    </row>
    <row r="314" spans="1:12">
      <c r="A314" s="4"/>
      <c r="D314" t="str">
        <f>IF($C314="","",IFERROR(INDEX(Orders!$B:$B,MATCH($C314,Orders!$A:$A,0)),""))</f>
        <v/>
      </c>
      <c r="E314" t="str">
        <f>IF($C314="","",IFERROR(INDEX(Orders!$D:$D,MATCH($C314,Orders!$A:$A,0)),""))</f>
        <v/>
      </c>
      <c r="H314" s="5"/>
      <c r="I314" s="5"/>
      <c r="J314" s="5"/>
      <c r="K314" s="5"/>
      <c r="L314" s="5" t="str">
        <f t="shared" si="4"/>
        <v/>
      </c>
    </row>
    <row r="315" spans="1:12">
      <c r="A315" s="4"/>
      <c r="D315" t="str">
        <f>IF($C315="","",IFERROR(INDEX(Orders!$B:$B,MATCH($C315,Orders!$A:$A,0)),""))</f>
        <v/>
      </c>
      <c r="E315" t="str">
        <f>IF($C315="","",IFERROR(INDEX(Orders!$D:$D,MATCH($C315,Orders!$A:$A,0)),""))</f>
        <v/>
      </c>
      <c r="H315" s="5"/>
      <c r="I315" s="5"/>
      <c r="J315" s="5"/>
      <c r="K315" s="5"/>
      <c r="L315" s="5" t="str">
        <f t="shared" si="4"/>
        <v/>
      </c>
    </row>
    <row r="316" spans="1:12">
      <c r="A316" s="4"/>
      <c r="D316" t="str">
        <f>IF($C316="","",IFERROR(INDEX(Orders!$B:$B,MATCH($C316,Orders!$A:$A,0)),""))</f>
        <v/>
      </c>
      <c r="E316" t="str">
        <f>IF($C316="","",IFERROR(INDEX(Orders!$D:$D,MATCH($C316,Orders!$A:$A,0)),""))</f>
        <v/>
      </c>
      <c r="H316" s="5"/>
      <c r="I316" s="5"/>
      <c r="J316" s="5"/>
      <c r="K316" s="5"/>
      <c r="L316" s="5" t="str">
        <f t="shared" si="4"/>
        <v/>
      </c>
    </row>
    <row r="317" spans="1:12">
      <c r="A317" s="4"/>
      <c r="D317" t="str">
        <f>IF($C317="","",IFERROR(INDEX(Orders!$B:$B,MATCH($C317,Orders!$A:$A,0)),""))</f>
        <v/>
      </c>
      <c r="E317" t="str">
        <f>IF($C317="","",IFERROR(INDEX(Orders!$D:$D,MATCH($C317,Orders!$A:$A,0)),""))</f>
        <v/>
      </c>
      <c r="H317" s="5"/>
      <c r="I317" s="5"/>
      <c r="J317" s="5"/>
      <c r="K317" s="5"/>
      <c r="L317" s="5" t="str">
        <f t="shared" si="4"/>
        <v/>
      </c>
    </row>
    <row r="318" spans="1:12">
      <c r="A318" s="4"/>
      <c r="D318" t="str">
        <f>IF($C318="","",IFERROR(INDEX(Orders!$B:$B,MATCH($C318,Orders!$A:$A,0)),""))</f>
        <v/>
      </c>
      <c r="E318" t="str">
        <f>IF($C318="","",IFERROR(INDEX(Orders!$D:$D,MATCH($C318,Orders!$A:$A,0)),""))</f>
        <v/>
      </c>
      <c r="H318" s="5"/>
      <c r="I318" s="5"/>
      <c r="J318" s="5"/>
      <c r="K318" s="5"/>
      <c r="L318" s="5" t="str">
        <f t="shared" si="4"/>
        <v/>
      </c>
    </row>
    <row r="319" spans="1:12">
      <c r="A319" s="4"/>
      <c r="D319" t="str">
        <f>IF($C319="","",IFERROR(INDEX(Orders!$B:$B,MATCH($C319,Orders!$A:$A,0)),""))</f>
        <v/>
      </c>
      <c r="E319" t="str">
        <f>IF($C319="","",IFERROR(INDEX(Orders!$D:$D,MATCH($C319,Orders!$A:$A,0)),""))</f>
        <v/>
      </c>
      <c r="H319" s="5"/>
      <c r="I319" s="5"/>
      <c r="J319" s="5"/>
      <c r="K319" s="5"/>
      <c r="L319" s="5" t="str">
        <f t="shared" si="4"/>
        <v/>
      </c>
    </row>
    <row r="320" spans="1:12">
      <c r="A320" s="4"/>
      <c r="D320" t="str">
        <f>IF($C320="","",IFERROR(INDEX(Orders!$B:$B,MATCH($C320,Orders!$A:$A,0)),""))</f>
        <v/>
      </c>
      <c r="E320" t="str">
        <f>IF($C320="","",IFERROR(INDEX(Orders!$D:$D,MATCH($C320,Orders!$A:$A,0)),""))</f>
        <v/>
      </c>
      <c r="H320" s="5"/>
      <c r="I320" s="5"/>
      <c r="J320" s="5"/>
      <c r="K320" s="5"/>
      <c r="L320" s="5" t="str">
        <f t="shared" si="4"/>
        <v/>
      </c>
    </row>
    <row r="321" spans="1:12">
      <c r="A321" s="4"/>
      <c r="D321" t="str">
        <f>IF($C321="","",IFERROR(INDEX(Orders!$B:$B,MATCH($C321,Orders!$A:$A,0)),""))</f>
        <v/>
      </c>
      <c r="E321" t="str">
        <f>IF($C321="","",IFERROR(INDEX(Orders!$D:$D,MATCH($C321,Orders!$A:$A,0)),""))</f>
        <v/>
      </c>
      <c r="H321" s="5"/>
      <c r="I321" s="5"/>
      <c r="J321" s="5"/>
      <c r="K321" s="5"/>
      <c r="L321" s="5" t="str">
        <f t="shared" si="4"/>
        <v/>
      </c>
    </row>
    <row r="322" spans="1:12">
      <c r="A322" s="4"/>
      <c r="D322" t="str">
        <f>IF($C322="","",IFERROR(INDEX(Orders!$B:$B,MATCH($C322,Orders!$A:$A,0)),""))</f>
        <v/>
      </c>
      <c r="E322" t="str">
        <f>IF($C322="","",IFERROR(INDEX(Orders!$D:$D,MATCH($C322,Orders!$A:$A,0)),""))</f>
        <v/>
      </c>
      <c r="H322" s="5"/>
      <c r="I322" s="5"/>
      <c r="J322" s="5"/>
      <c r="K322" s="5"/>
      <c r="L322" s="5" t="str">
        <f t="shared" ref="L322:L385" si="5">IF($C322="","",$H322-$I322-$K322)</f>
        <v/>
      </c>
    </row>
    <row r="323" spans="1:12">
      <c r="A323" s="4"/>
      <c r="D323" t="str">
        <f>IF($C323="","",IFERROR(INDEX(Orders!$B:$B,MATCH($C323,Orders!$A:$A,0)),""))</f>
        <v/>
      </c>
      <c r="E323" t="str">
        <f>IF($C323="","",IFERROR(INDEX(Orders!$D:$D,MATCH($C323,Orders!$A:$A,0)),""))</f>
        <v/>
      </c>
      <c r="H323" s="5"/>
      <c r="I323" s="5"/>
      <c r="J323" s="5"/>
      <c r="K323" s="5"/>
      <c r="L323" s="5" t="str">
        <f t="shared" si="5"/>
        <v/>
      </c>
    </row>
    <row r="324" spans="1:12">
      <c r="A324" s="4"/>
      <c r="D324" t="str">
        <f>IF($C324="","",IFERROR(INDEX(Orders!$B:$B,MATCH($C324,Orders!$A:$A,0)),""))</f>
        <v/>
      </c>
      <c r="E324" t="str">
        <f>IF($C324="","",IFERROR(INDEX(Orders!$D:$D,MATCH($C324,Orders!$A:$A,0)),""))</f>
        <v/>
      </c>
      <c r="H324" s="5"/>
      <c r="I324" s="5"/>
      <c r="J324" s="5"/>
      <c r="K324" s="5"/>
      <c r="L324" s="5" t="str">
        <f t="shared" si="5"/>
        <v/>
      </c>
    </row>
    <row r="325" spans="1:12">
      <c r="A325" s="4"/>
      <c r="D325" t="str">
        <f>IF($C325="","",IFERROR(INDEX(Orders!$B:$B,MATCH($C325,Orders!$A:$A,0)),""))</f>
        <v/>
      </c>
      <c r="E325" t="str">
        <f>IF($C325="","",IFERROR(INDEX(Orders!$D:$D,MATCH($C325,Orders!$A:$A,0)),""))</f>
        <v/>
      </c>
      <c r="H325" s="5"/>
      <c r="I325" s="5"/>
      <c r="J325" s="5"/>
      <c r="K325" s="5"/>
      <c r="L325" s="5" t="str">
        <f t="shared" si="5"/>
        <v/>
      </c>
    </row>
    <row r="326" spans="1:12">
      <c r="A326" s="4"/>
      <c r="D326" t="str">
        <f>IF($C326="","",IFERROR(INDEX(Orders!$B:$B,MATCH($C326,Orders!$A:$A,0)),""))</f>
        <v/>
      </c>
      <c r="E326" t="str">
        <f>IF($C326="","",IFERROR(INDEX(Orders!$D:$D,MATCH($C326,Orders!$A:$A,0)),""))</f>
        <v/>
      </c>
      <c r="H326" s="5"/>
      <c r="I326" s="5"/>
      <c r="J326" s="5"/>
      <c r="K326" s="5"/>
      <c r="L326" s="5" t="str">
        <f t="shared" si="5"/>
        <v/>
      </c>
    </row>
    <row r="327" spans="1:12">
      <c r="A327" s="4"/>
      <c r="D327" t="str">
        <f>IF($C327="","",IFERROR(INDEX(Orders!$B:$B,MATCH($C327,Orders!$A:$A,0)),""))</f>
        <v/>
      </c>
      <c r="E327" t="str">
        <f>IF($C327="","",IFERROR(INDEX(Orders!$D:$D,MATCH($C327,Orders!$A:$A,0)),""))</f>
        <v/>
      </c>
      <c r="H327" s="5"/>
      <c r="I327" s="5"/>
      <c r="J327" s="5"/>
      <c r="K327" s="5"/>
      <c r="L327" s="5" t="str">
        <f t="shared" si="5"/>
        <v/>
      </c>
    </row>
    <row r="328" spans="1:12">
      <c r="A328" s="4"/>
      <c r="D328" t="str">
        <f>IF($C328="","",IFERROR(INDEX(Orders!$B:$B,MATCH($C328,Orders!$A:$A,0)),""))</f>
        <v/>
      </c>
      <c r="E328" t="str">
        <f>IF($C328="","",IFERROR(INDEX(Orders!$D:$D,MATCH($C328,Orders!$A:$A,0)),""))</f>
        <v/>
      </c>
      <c r="H328" s="5"/>
      <c r="I328" s="5"/>
      <c r="J328" s="5"/>
      <c r="K328" s="5"/>
      <c r="L328" s="5" t="str">
        <f t="shared" si="5"/>
        <v/>
      </c>
    </row>
    <row r="329" spans="1:12">
      <c r="A329" s="4"/>
      <c r="D329" t="str">
        <f>IF($C329="","",IFERROR(INDEX(Orders!$B:$B,MATCH($C329,Orders!$A:$A,0)),""))</f>
        <v/>
      </c>
      <c r="E329" t="str">
        <f>IF($C329="","",IFERROR(INDEX(Orders!$D:$D,MATCH($C329,Orders!$A:$A,0)),""))</f>
        <v/>
      </c>
      <c r="H329" s="5"/>
      <c r="I329" s="5"/>
      <c r="J329" s="5"/>
      <c r="K329" s="5"/>
      <c r="L329" s="5" t="str">
        <f t="shared" si="5"/>
        <v/>
      </c>
    </row>
    <row r="330" spans="1:12">
      <c r="A330" s="4"/>
      <c r="D330" t="str">
        <f>IF($C330="","",IFERROR(INDEX(Orders!$B:$B,MATCH($C330,Orders!$A:$A,0)),""))</f>
        <v/>
      </c>
      <c r="E330" t="str">
        <f>IF($C330="","",IFERROR(INDEX(Orders!$D:$D,MATCH($C330,Orders!$A:$A,0)),""))</f>
        <v/>
      </c>
      <c r="H330" s="5"/>
      <c r="I330" s="5"/>
      <c r="J330" s="5"/>
      <c r="K330" s="5"/>
      <c r="L330" s="5" t="str">
        <f t="shared" si="5"/>
        <v/>
      </c>
    </row>
    <row r="331" spans="1:12">
      <c r="A331" s="4"/>
      <c r="D331" t="str">
        <f>IF($C331="","",IFERROR(INDEX(Orders!$B:$B,MATCH($C331,Orders!$A:$A,0)),""))</f>
        <v/>
      </c>
      <c r="E331" t="str">
        <f>IF($C331="","",IFERROR(INDEX(Orders!$D:$D,MATCH($C331,Orders!$A:$A,0)),""))</f>
        <v/>
      </c>
      <c r="H331" s="5"/>
      <c r="I331" s="5"/>
      <c r="J331" s="5"/>
      <c r="K331" s="5"/>
      <c r="L331" s="5" t="str">
        <f t="shared" si="5"/>
        <v/>
      </c>
    </row>
    <row r="332" spans="1:12">
      <c r="A332" s="4"/>
      <c r="D332" t="str">
        <f>IF($C332="","",IFERROR(INDEX(Orders!$B:$B,MATCH($C332,Orders!$A:$A,0)),""))</f>
        <v/>
      </c>
      <c r="E332" t="str">
        <f>IF($C332="","",IFERROR(INDEX(Orders!$D:$D,MATCH($C332,Orders!$A:$A,0)),""))</f>
        <v/>
      </c>
      <c r="H332" s="5"/>
      <c r="I332" s="5"/>
      <c r="J332" s="5"/>
      <c r="K332" s="5"/>
      <c r="L332" s="5" t="str">
        <f t="shared" si="5"/>
        <v/>
      </c>
    </row>
    <row r="333" spans="1:12">
      <c r="A333" s="4"/>
      <c r="D333" t="str">
        <f>IF($C333="","",IFERROR(INDEX(Orders!$B:$B,MATCH($C333,Orders!$A:$A,0)),""))</f>
        <v/>
      </c>
      <c r="E333" t="str">
        <f>IF($C333="","",IFERROR(INDEX(Orders!$D:$D,MATCH($C333,Orders!$A:$A,0)),""))</f>
        <v/>
      </c>
      <c r="H333" s="5"/>
      <c r="I333" s="5"/>
      <c r="J333" s="5"/>
      <c r="K333" s="5"/>
      <c r="L333" s="5" t="str">
        <f t="shared" si="5"/>
        <v/>
      </c>
    </row>
    <row r="334" spans="1:12">
      <c r="A334" s="4"/>
      <c r="D334" t="str">
        <f>IF($C334="","",IFERROR(INDEX(Orders!$B:$B,MATCH($C334,Orders!$A:$A,0)),""))</f>
        <v/>
      </c>
      <c r="E334" t="str">
        <f>IF($C334="","",IFERROR(INDEX(Orders!$D:$D,MATCH($C334,Orders!$A:$A,0)),""))</f>
        <v/>
      </c>
      <c r="H334" s="5"/>
      <c r="I334" s="5"/>
      <c r="J334" s="5"/>
      <c r="K334" s="5"/>
      <c r="L334" s="5" t="str">
        <f t="shared" si="5"/>
        <v/>
      </c>
    </row>
    <row r="335" spans="1:12">
      <c r="A335" s="4"/>
      <c r="D335" t="str">
        <f>IF($C335="","",IFERROR(INDEX(Orders!$B:$B,MATCH($C335,Orders!$A:$A,0)),""))</f>
        <v/>
      </c>
      <c r="E335" t="str">
        <f>IF($C335="","",IFERROR(INDEX(Orders!$D:$D,MATCH($C335,Orders!$A:$A,0)),""))</f>
        <v/>
      </c>
      <c r="H335" s="5"/>
      <c r="I335" s="5"/>
      <c r="J335" s="5"/>
      <c r="K335" s="5"/>
      <c r="L335" s="5" t="str">
        <f t="shared" si="5"/>
        <v/>
      </c>
    </row>
    <row r="336" spans="1:12">
      <c r="A336" s="4"/>
      <c r="D336" t="str">
        <f>IF($C336="","",IFERROR(INDEX(Orders!$B:$B,MATCH($C336,Orders!$A:$A,0)),""))</f>
        <v/>
      </c>
      <c r="E336" t="str">
        <f>IF($C336="","",IFERROR(INDEX(Orders!$D:$D,MATCH($C336,Orders!$A:$A,0)),""))</f>
        <v/>
      </c>
      <c r="H336" s="5"/>
      <c r="I336" s="5"/>
      <c r="J336" s="5"/>
      <c r="K336" s="5"/>
      <c r="L336" s="5" t="str">
        <f t="shared" si="5"/>
        <v/>
      </c>
    </row>
    <row r="337" spans="1:12">
      <c r="A337" s="4"/>
      <c r="D337" t="str">
        <f>IF($C337="","",IFERROR(INDEX(Orders!$B:$B,MATCH($C337,Orders!$A:$A,0)),""))</f>
        <v/>
      </c>
      <c r="E337" t="str">
        <f>IF($C337="","",IFERROR(INDEX(Orders!$D:$D,MATCH($C337,Orders!$A:$A,0)),""))</f>
        <v/>
      </c>
      <c r="H337" s="5"/>
      <c r="I337" s="5"/>
      <c r="J337" s="5"/>
      <c r="K337" s="5"/>
      <c r="L337" s="5" t="str">
        <f t="shared" si="5"/>
        <v/>
      </c>
    </row>
    <row r="338" spans="1:12">
      <c r="A338" s="4"/>
      <c r="D338" t="str">
        <f>IF($C338="","",IFERROR(INDEX(Orders!$B:$B,MATCH($C338,Orders!$A:$A,0)),""))</f>
        <v/>
      </c>
      <c r="E338" t="str">
        <f>IF($C338="","",IFERROR(INDEX(Orders!$D:$D,MATCH($C338,Orders!$A:$A,0)),""))</f>
        <v/>
      </c>
      <c r="H338" s="5"/>
      <c r="I338" s="5"/>
      <c r="J338" s="5"/>
      <c r="K338" s="5"/>
      <c r="L338" s="5" t="str">
        <f t="shared" si="5"/>
        <v/>
      </c>
    </row>
    <row r="339" spans="1:12">
      <c r="A339" s="4"/>
      <c r="D339" t="str">
        <f>IF($C339="","",IFERROR(INDEX(Orders!$B:$B,MATCH($C339,Orders!$A:$A,0)),""))</f>
        <v/>
      </c>
      <c r="E339" t="str">
        <f>IF($C339="","",IFERROR(INDEX(Orders!$D:$D,MATCH($C339,Orders!$A:$A,0)),""))</f>
        <v/>
      </c>
      <c r="H339" s="5"/>
      <c r="I339" s="5"/>
      <c r="J339" s="5"/>
      <c r="K339" s="5"/>
      <c r="L339" s="5" t="str">
        <f t="shared" si="5"/>
        <v/>
      </c>
    </row>
    <row r="340" spans="1:12">
      <c r="A340" s="4"/>
      <c r="D340" t="str">
        <f>IF($C340="","",IFERROR(INDEX(Orders!$B:$B,MATCH($C340,Orders!$A:$A,0)),""))</f>
        <v/>
      </c>
      <c r="E340" t="str">
        <f>IF($C340="","",IFERROR(INDEX(Orders!$D:$D,MATCH($C340,Orders!$A:$A,0)),""))</f>
        <v/>
      </c>
      <c r="H340" s="5"/>
      <c r="I340" s="5"/>
      <c r="J340" s="5"/>
      <c r="K340" s="5"/>
      <c r="L340" s="5" t="str">
        <f t="shared" si="5"/>
        <v/>
      </c>
    </row>
    <row r="341" spans="1:12">
      <c r="A341" s="4"/>
      <c r="D341" t="str">
        <f>IF($C341="","",IFERROR(INDEX(Orders!$B:$B,MATCH($C341,Orders!$A:$A,0)),""))</f>
        <v/>
      </c>
      <c r="E341" t="str">
        <f>IF($C341="","",IFERROR(INDEX(Orders!$D:$D,MATCH($C341,Orders!$A:$A,0)),""))</f>
        <v/>
      </c>
      <c r="H341" s="5"/>
      <c r="I341" s="5"/>
      <c r="J341" s="5"/>
      <c r="K341" s="5"/>
      <c r="L341" s="5" t="str">
        <f t="shared" si="5"/>
        <v/>
      </c>
    </row>
    <row r="342" spans="1:12">
      <c r="A342" s="4"/>
      <c r="D342" t="str">
        <f>IF($C342="","",IFERROR(INDEX(Orders!$B:$B,MATCH($C342,Orders!$A:$A,0)),""))</f>
        <v/>
      </c>
      <c r="E342" t="str">
        <f>IF($C342="","",IFERROR(INDEX(Orders!$D:$D,MATCH($C342,Orders!$A:$A,0)),""))</f>
        <v/>
      </c>
      <c r="H342" s="5"/>
      <c r="I342" s="5"/>
      <c r="J342" s="5"/>
      <c r="K342" s="5"/>
      <c r="L342" s="5" t="str">
        <f t="shared" si="5"/>
        <v/>
      </c>
    </row>
    <row r="343" spans="1:12">
      <c r="A343" s="4"/>
      <c r="D343" t="str">
        <f>IF($C343="","",IFERROR(INDEX(Orders!$B:$B,MATCH($C343,Orders!$A:$A,0)),""))</f>
        <v/>
      </c>
      <c r="E343" t="str">
        <f>IF($C343="","",IFERROR(INDEX(Orders!$D:$D,MATCH($C343,Orders!$A:$A,0)),""))</f>
        <v/>
      </c>
      <c r="H343" s="5"/>
      <c r="I343" s="5"/>
      <c r="J343" s="5"/>
      <c r="K343" s="5"/>
      <c r="L343" s="5" t="str">
        <f t="shared" si="5"/>
        <v/>
      </c>
    </row>
    <row r="344" spans="1:12">
      <c r="A344" s="4"/>
      <c r="D344" t="str">
        <f>IF($C344="","",IFERROR(INDEX(Orders!$B:$B,MATCH($C344,Orders!$A:$A,0)),""))</f>
        <v/>
      </c>
      <c r="E344" t="str">
        <f>IF($C344="","",IFERROR(INDEX(Orders!$D:$D,MATCH($C344,Orders!$A:$A,0)),""))</f>
        <v/>
      </c>
      <c r="H344" s="5"/>
      <c r="I344" s="5"/>
      <c r="J344" s="5"/>
      <c r="K344" s="5"/>
      <c r="L344" s="5" t="str">
        <f t="shared" si="5"/>
        <v/>
      </c>
    </row>
    <row r="345" spans="1:12">
      <c r="A345" s="4"/>
      <c r="D345" t="str">
        <f>IF($C345="","",IFERROR(INDEX(Orders!$B:$B,MATCH($C345,Orders!$A:$A,0)),""))</f>
        <v/>
      </c>
      <c r="E345" t="str">
        <f>IF($C345="","",IFERROR(INDEX(Orders!$D:$D,MATCH($C345,Orders!$A:$A,0)),""))</f>
        <v/>
      </c>
      <c r="H345" s="5"/>
      <c r="I345" s="5"/>
      <c r="J345" s="5"/>
      <c r="K345" s="5"/>
      <c r="L345" s="5" t="str">
        <f t="shared" si="5"/>
        <v/>
      </c>
    </row>
    <row r="346" spans="1:12">
      <c r="A346" s="4"/>
      <c r="D346" t="str">
        <f>IF($C346="","",IFERROR(INDEX(Orders!$B:$B,MATCH($C346,Orders!$A:$A,0)),""))</f>
        <v/>
      </c>
      <c r="E346" t="str">
        <f>IF($C346="","",IFERROR(INDEX(Orders!$D:$D,MATCH($C346,Orders!$A:$A,0)),""))</f>
        <v/>
      </c>
      <c r="H346" s="5"/>
      <c r="I346" s="5"/>
      <c r="J346" s="5"/>
      <c r="K346" s="5"/>
      <c r="L346" s="5" t="str">
        <f t="shared" si="5"/>
        <v/>
      </c>
    </row>
    <row r="347" spans="1:12">
      <c r="A347" s="4"/>
      <c r="D347" t="str">
        <f>IF($C347="","",IFERROR(INDEX(Orders!$B:$B,MATCH($C347,Orders!$A:$A,0)),""))</f>
        <v/>
      </c>
      <c r="E347" t="str">
        <f>IF($C347="","",IFERROR(INDEX(Orders!$D:$D,MATCH($C347,Orders!$A:$A,0)),""))</f>
        <v/>
      </c>
      <c r="H347" s="5"/>
      <c r="I347" s="5"/>
      <c r="J347" s="5"/>
      <c r="K347" s="5"/>
      <c r="L347" s="5" t="str">
        <f t="shared" si="5"/>
        <v/>
      </c>
    </row>
    <row r="348" spans="1:12">
      <c r="A348" s="4"/>
      <c r="D348" t="str">
        <f>IF($C348="","",IFERROR(INDEX(Orders!$B:$B,MATCH($C348,Orders!$A:$A,0)),""))</f>
        <v/>
      </c>
      <c r="E348" t="str">
        <f>IF($C348="","",IFERROR(INDEX(Orders!$D:$D,MATCH($C348,Orders!$A:$A,0)),""))</f>
        <v/>
      </c>
      <c r="H348" s="5"/>
      <c r="I348" s="5"/>
      <c r="J348" s="5"/>
      <c r="K348" s="5"/>
      <c r="L348" s="5" t="str">
        <f t="shared" si="5"/>
        <v/>
      </c>
    </row>
    <row r="349" spans="1:12">
      <c r="A349" s="4"/>
      <c r="D349" t="str">
        <f>IF($C349="","",IFERROR(INDEX(Orders!$B:$B,MATCH($C349,Orders!$A:$A,0)),""))</f>
        <v/>
      </c>
      <c r="E349" t="str">
        <f>IF($C349="","",IFERROR(INDEX(Orders!$D:$D,MATCH($C349,Orders!$A:$A,0)),""))</f>
        <v/>
      </c>
      <c r="H349" s="5"/>
      <c r="I349" s="5"/>
      <c r="J349" s="5"/>
      <c r="K349" s="5"/>
      <c r="L349" s="5" t="str">
        <f t="shared" si="5"/>
        <v/>
      </c>
    </row>
    <row r="350" spans="1:12">
      <c r="A350" s="4"/>
      <c r="D350" t="str">
        <f>IF($C350="","",IFERROR(INDEX(Orders!$B:$B,MATCH($C350,Orders!$A:$A,0)),""))</f>
        <v/>
      </c>
      <c r="E350" t="str">
        <f>IF($C350="","",IFERROR(INDEX(Orders!$D:$D,MATCH($C350,Orders!$A:$A,0)),""))</f>
        <v/>
      </c>
      <c r="H350" s="5"/>
      <c r="I350" s="5"/>
      <c r="J350" s="5"/>
      <c r="K350" s="5"/>
      <c r="L350" s="5" t="str">
        <f t="shared" si="5"/>
        <v/>
      </c>
    </row>
    <row r="351" spans="1:12">
      <c r="A351" s="4"/>
      <c r="D351" t="str">
        <f>IF($C351="","",IFERROR(INDEX(Orders!$B:$B,MATCH($C351,Orders!$A:$A,0)),""))</f>
        <v/>
      </c>
      <c r="E351" t="str">
        <f>IF($C351="","",IFERROR(INDEX(Orders!$D:$D,MATCH($C351,Orders!$A:$A,0)),""))</f>
        <v/>
      </c>
      <c r="H351" s="5"/>
      <c r="I351" s="5"/>
      <c r="J351" s="5"/>
      <c r="K351" s="5"/>
      <c r="L351" s="5" t="str">
        <f t="shared" si="5"/>
        <v/>
      </c>
    </row>
    <row r="352" spans="1:12">
      <c r="A352" s="4"/>
      <c r="D352" t="str">
        <f>IF($C352="","",IFERROR(INDEX(Orders!$B:$B,MATCH($C352,Orders!$A:$A,0)),""))</f>
        <v/>
      </c>
      <c r="E352" t="str">
        <f>IF($C352="","",IFERROR(INDEX(Orders!$D:$D,MATCH($C352,Orders!$A:$A,0)),""))</f>
        <v/>
      </c>
      <c r="H352" s="5"/>
      <c r="I352" s="5"/>
      <c r="J352" s="5"/>
      <c r="K352" s="5"/>
      <c r="L352" s="5" t="str">
        <f t="shared" si="5"/>
        <v/>
      </c>
    </row>
    <row r="353" spans="1:12">
      <c r="A353" s="4"/>
      <c r="D353" t="str">
        <f>IF($C353="","",IFERROR(INDEX(Orders!$B:$B,MATCH($C353,Orders!$A:$A,0)),""))</f>
        <v/>
      </c>
      <c r="E353" t="str">
        <f>IF($C353="","",IFERROR(INDEX(Orders!$D:$D,MATCH($C353,Orders!$A:$A,0)),""))</f>
        <v/>
      </c>
      <c r="H353" s="5"/>
      <c r="I353" s="5"/>
      <c r="J353" s="5"/>
      <c r="K353" s="5"/>
      <c r="L353" s="5" t="str">
        <f t="shared" si="5"/>
        <v/>
      </c>
    </row>
    <row r="354" spans="1:12">
      <c r="A354" s="4"/>
      <c r="D354" t="str">
        <f>IF($C354="","",IFERROR(INDEX(Orders!$B:$B,MATCH($C354,Orders!$A:$A,0)),""))</f>
        <v/>
      </c>
      <c r="E354" t="str">
        <f>IF($C354="","",IFERROR(INDEX(Orders!$D:$D,MATCH($C354,Orders!$A:$A,0)),""))</f>
        <v/>
      </c>
      <c r="H354" s="5"/>
      <c r="I354" s="5"/>
      <c r="J354" s="5"/>
      <c r="K354" s="5"/>
      <c r="L354" s="5" t="str">
        <f t="shared" si="5"/>
        <v/>
      </c>
    </row>
    <row r="355" spans="1:12">
      <c r="A355" s="4"/>
      <c r="D355" t="str">
        <f>IF($C355="","",IFERROR(INDEX(Orders!$B:$B,MATCH($C355,Orders!$A:$A,0)),""))</f>
        <v/>
      </c>
      <c r="E355" t="str">
        <f>IF($C355="","",IFERROR(INDEX(Orders!$D:$D,MATCH($C355,Orders!$A:$A,0)),""))</f>
        <v/>
      </c>
      <c r="H355" s="5"/>
      <c r="I355" s="5"/>
      <c r="J355" s="5"/>
      <c r="K355" s="5"/>
      <c r="L355" s="5" t="str">
        <f t="shared" si="5"/>
        <v/>
      </c>
    </row>
    <row r="356" spans="1:12">
      <c r="A356" s="4"/>
      <c r="D356" t="str">
        <f>IF($C356="","",IFERROR(INDEX(Orders!$B:$B,MATCH($C356,Orders!$A:$A,0)),""))</f>
        <v/>
      </c>
      <c r="E356" t="str">
        <f>IF($C356="","",IFERROR(INDEX(Orders!$D:$D,MATCH($C356,Orders!$A:$A,0)),""))</f>
        <v/>
      </c>
      <c r="H356" s="5"/>
      <c r="I356" s="5"/>
      <c r="J356" s="5"/>
      <c r="K356" s="5"/>
      <c r="L356" s="5" t="str">
        <f t="shared" si="5"/>
        <v/>
      </c>
    </row>
    <row r="357" spans="1:12">
      <c r="A357" s="4"/>
      <c r="D357" t="str">
        <f>IF($C357="","",IFERROR(INDEX(Orders!$B:$B,MATCH($C357,Orders!$A:$A,0)),""))</f>
        <v/>
      </c>
      <c r="E357" t="str">
        <f>IF($C357="","",IFERROR(INDEX(Orders!$D:$D,MATCH($C357,Orders!$A:$A,0)),""))</f>
        <v/>
      </c>
      <c r="H357" s="5"/>
      <c r="I357" s="5"/>
      <c r="J357" s="5"/>
      <c r="K357" s="5"/>
      <c r="L357" s="5" t="str">
        <f t="shared" si="5"/>
        <v/>
      </c>
    </row>
    <row r="358" spans="1:12">
      <c r="A358" s="4"/>
      <c r="D358" t="str">
        <f>IF($C358="","",IFERROR(INDEX(Orders!$B:$B,MATCH($C358,Orders!$A:$A,0)),""))</f>
        <v/>
      </c>
      <c r="E358" t="str">
        <f>IF($C358="","",IFERROR(INDEX(Orders!$D:$D,MATCH($C358,Orders!$A:$A,0)),""))</f>
        <v/>
      </c>
      <c r="H358" s="5"/>
      <c r="I358" s="5"/>
      <c r="J358" s="5"/>
      <c r="K358" s="5"/>
      <c r="L358" s="5" t="str">
        <f t="shared" si="5"/>
        <v/>
      </c>
    </row>
    <row r="359" spans="1:12">
      <c r="A359" s="4"/>
      <c r="D359" t="str">
        <f>IF($C359="","",IFERROR(INDEX(Orders!$B:$B,MATCH($C359,Orders!$A:$A,0)),""))</f>
        <v/>
      </c>
      <c r="E359" t="str">
        <f>IF($C359="","",IFERROR(INDEX(Orders!$D:$D,MATCH($C359,Orders!$A:$A,0)),""))</f>
        <v/>
      </c>
      <c r="H359" s="5"/>
      <c r="I359" s="5"/>
      <c r="J359" s="5"/>
      <c r="K359" s="5"/>
      <c r="L359" s="5" t="str">
        <f t="shared" si="5"/>
        <v/>
      </c>
    </row>
    <row r="360" spans="1:12">
      <c r="A360" s="4"/>
      <c r="D360" t="str">
        <f>IF($C360="","",IFERROR(INDEX(Orders!$B:$B,MATCH($C360,Orders!$A:$A,0)),""))</f>
        <v/>
      </c>
      <c r="E360" t="str">
        <f>IF($C360="","",IFERROR(INDEX(Orders!$D:$D,MATCH($C360,Orders!$A:$A,0)),""))</f>
        <v/>
      </c>
      <c r="H360" s="5"/>
      <c r="I360" s="5"/>
      <c r="J360" s="5"/>
      <c r="K360" s="5"/>
      <c r="L360" s="5" t="str">
        <f t="shared" si="5"/>
        <v/>
      </c>
    </row>
    <row r="361" spans="1:12">
      <c r="A361" s="4"/>
      <c r="D361" t="str">
        <f>IF($C361="","",IFERROR(INDEX(Orders!$B:$B,MATCH($C361,Orders!$A:$A,0)),""))</f>
        <v/>
      </c>
      <c r="E361" t="str">
        <f>IF($C361="","",IFERROR(INDEX(Orders!$D:$D,MATCH($C361,Orders!$A:$A,0)),""))</f>
        <v/>
      </c>
      <c r="H361" s="5"/>
      <c r="I361" s="5"/>
      <c r="J361" s="5"/>
      <c r="K361" s="5"/>
      <c r="L361" s="5" t="str">
        <f t="shared" si="5"/>
        <v/>
      </c>
    </row>
    <row r="362" spans="1:12">
      <c r="A362" s="4"/>
      <c r="D362" t="str">
        <f>IF($C362="","",IFERROR(INDEX(Orders!$B:$B,MATCH($C362,Orders!$A:$A,0)),""))</f>
        <v/>
      </c>
      <c r="E362" t="str">
        <f>IF($C362="","",IFERROR(INDEX(Orders!$D:$D,MATCH($C362,Orders!$A:$A,0)),""))</f>
        <v/>
      </c>
      <c r="H362" s="5"/>
      <c r="I362" s="5"/>
      <c r="J362" s="5"/>
      <c r="K362" s="5"/>
      <c r="L362" s="5" t="str">
        <f t="shared" si="5"/>
        <v/>
      </c>
    </row>
    <row r="363" spans="1:12">
      <c r="A363" s="4"/>
      <c r="D363" t="str">
        <f>IF($C363="","",IFERROR(INDEX(Orders!$B:$B,MATCH($C363,Orders!$A:$A,0)),""))</f>
        <v/>
      </c>
      <c r="E363" t="str">
        <f>IF($C363="","",IFERROR(INDEX(Orders!$D:$D,MATCH($C363,Orders!$A:$A,0)),""))</f>
        <v/>
      </c>
      <c r="H363" s="5"/>
      <c r="I363" s="5"/>
      <c r="J363" s="5"/>
      <c r="K363" s="5"/>
      <c r="L363" s="5" t="str">
        <f t="shared" si="5"/>
        <v/>
      </c>
    </row>
    <row r="364" spans="1:12">
      <c r="A364" s="4"/>
      <c r="D364" t="str">
        <f>IF($C364="","",IFERROR(INDEX(Orders!$B:$B,MATCH($C364,Orders!$A:$A,0)),""))</f>
        <v/>
      </c>
      <c r="E364" t="str">
        <f>IF($C364="","",IFERROR(INDEX(Orders!$D:$D,MATCH($C364,Orders!$A:$A,0)),""))</f>
        <v/>
      </c>
      <c r="H364" s="5"/>
      <c r="I364" s="5"/>
      <c r="J364" s="5"/>
      <c r="K364" s="5"/>
      <c r="L364" s="5" t="str">
        <f t="shared" si="5"/>
        <v/>
      </c>
    </row>
    <row r="365" spans="1:12">
      <c r="A365" s="4"/>
      <c r="D365" t="str">
        <f>IF($C365="","",IFERROR(INDEX(Orders!$B:$B,MATCH($C365,Orders!$A:$A,0)),""))</f>
        <v/>
      </c>
      <c r="E365" t="str">
        <f>IF($C365="","",IFERROR(INDEX(Orders!$D:$D,MATCH($C365,Orders!$A:$A,0)),""))</f>
        <v/>
      </c>
      <c r="H365" s="5"/>
      <c r="I365" s="5"/>
      <c r="J365" s="5"/>
      <c r="K365" s="5"/>
      <c r="L365" s="5" t="str">
        <f t="shared" si="5"/>
        <v/>
      </c>
    </row>
    <row r="366" spans="1:12">
      <c r="A366" s="4"/>
      <c r="D366" t="str">
        <f>IF($C366="","",IFERROR(INDEX(Orders!$B:$B,MATCH($C366,Orders!$A:$A,0)),""))</f>
        <v/>
      </c>
      <c r="E366" t="str">
        <f>IF($C366="","",IFERROR(INDEX(Orders!$D:$D,MATCH($C366,Orders!$A:$A,0)),""))</f>
        <v/>
      </c>
      <c r="H366" s="5"/>
      <c r="I366" s="5"/>
      <c r="J366" s="5"/>
      <c r="K366" s="5"/>
      <c r="L366" s="5" t="str">
        <f t="shared" si="5"/>
        <v/>
      </c>
    </row>
    <row r="367" spans="1:12">
      <c r="A367" s="4"/>
      <c r="D367" t="str">
        <f>IF($C367="","",IFERROR(INDEX(Orders!$B:$B,MATCH($C367,Orders!$A:$A,0)),""))</f>
        <v/>
      </c>
      <c r="E367" t="str">
        <f>IF($C367="","",IFERROR(INDEX(Orders!$D:$D,MATCH($C367,Orders!$A:$A,0)),""))</f>
        <v/>
      </c>
      <c r="H367" s="5"/>
      <c r="I367" s="5"/>
      <c r="J367" s="5"/>
      <c r="K367" s="5"/>
      <c r="L367" s="5" t="str">
        <f t="shared" si="5"/>
        <v/>
      </c>
    </row>
    <row r="368" spans="1:12">
      <c r="A368" s="4"/>
      <c r="D368" t="str">
        <f>IF($C368="","",IFERROR(INDEX(Orders!$B:$B,MATCH($C368,Orders!$A:$A,0)),""))</f>
        <v/>
      </c>
      <c r="E368" t="str">
        <f>IF($C368="","",IFERROR(INDEX(Orders!$D:$D,MATCH($C368,Orders!$A:$A,0)),""))</f>
        <v/>
      </c>
      <c r="H368" s="5"/>
      <c r="I368" s="5"/>
      <c r="J368" s="5"/>
      <c r="K368" s="5"/>
      <c r="L368" s="5" t="str">
        <f t="shared" si="5"/>
        <v/>
      </c>
    </row>
    <row r="369" spans="1:12">
      <c r="A369" s="4"/>
      <c r="D369" t="str">
        <f>IF($C369="","",IFERROR(INDEX(Orders!$B:$B,MATCH($C369,Orders!$A:$A,0)),""))</f>
        <v/>
      </c>
      <c r="E369" t="str">
        <f>IF($C369="","",IFERROR(INDEX(Orders!$D:$D,MATCH($C369,Orders!$A:$A,0)),""))</f>
        <v/>
      </c>
      <c r="H369" s="5"/>
      <c r="I369" s="5"/>
      <c r="J369" s="5"/>
      <c r="K369" s="5"/>
      <c r="L369" s="5" t="str">
        <f t="shared" si="5"/>
        <v/>
      </c>
    </row>
    <row r="370" spans="1:12">
      <c r="A370" s="4"/>
      <c r="D370" t="str">
        <f>IF($C370="","",IFERROR(INDEX(Orders!$B:$B,MATCH($C370,Orders!$A:$A,0)),""))</f>
        <v/>
      </c>
      <c r="E370" t="str">
        <f>IF($C370="","",IFERROR(INDEX(Orders!$D:$D,MATCH($C370,Orders!$A:$A,0)),""))</f>
        <v/>
      </c>
      <c r="H370" s="5"/>
      <c r="I370" s="5"/>
      <c r="J370" s="5"/>
      <c r="K370" s="5"/>
      <c r="L370" s="5" t="str">
        <f t="shared" si="5"/>
        <v/>
      </c>
    </row>
    <row r="371" spans="1:12">
      <c r="A371" s="4"/>
      <c r="D371" t="str">
        <f>IF($C371="","",IFERROR(INDEX(Orders!$B:$B,MATCH($C371,Orders!$A:$A,0)),""))</f>
        <v/>
      </c>
      <c r="E371" t="str">
        <f>IF($C371="","",IFERROR(INDEX(Orders!$D:$D,MATCH($C371,Orders!$A:$A,0)),""))</f>
        <v/>
      </c>
      <c r="H371" s="5"/>
      <c r="I371" s="5"/>
      <c r="J371" s="5"/>
      <c r="K371" s="5"/>
      <c r="L371" s="5" t="str">
        <f t="shared" si="5"/>
        <v/>
      </c>
    </row>
    <row r="372" spans="1:12">
      <c r="A372" s="4"/>
      <c r="D372" t="str">
        <f>IF($C372="","",IFERROR(INDEX(Orders!$B:$B,MATCH($C372,Orders!$A:$A,0)),""))</f>
        <v/>
      </c>
      <c r="E372" t="str">
        <f>IF($C372="","",IFERROR(INDEX(Orders!$D:$D,MATCH($C372,Orders!$A:$A,0)),""))</f>
        <v/>
      </c>
      <c r="H372" s="5"/>
      <c r="I372" s="5"/>
      <c r="J372" s="5"/>
      <c r="K372" s="5"/>
      <c r="L372" s="5" t="str">
        <f t="shared" si="5"/>
        <v/>
      </c>
    </row>
    <row r="373" spans="1:12">
      <c r="A373" s="4"/>
      <c r="D373" t="str">
        <f>IF($C373="","",IFERROR(INDEX(Orders!$B:$B,MATCH($C373,Orders!$A:$A,0)),""))</f>
        <v/>
      </c>
      <c r="E373" t="str">
        <f>IF($C373="","",IFERROR(INDEX(Orders!$D:$D,MATCH($C373,Orders!$A:$A,0)),""))</f>
        <v/>
      </c>
      <c r="H373" s="5"/>
      <c r="I373" s="5"/>
      <c r="J373" s="5"/>
      <c r="K373" s="5"/>
      <c r="L373" s="5" t="str">
        <f t="shared" si="5"/>
        <v/>
      </c>
    </row>
    <row r="374" spans="1:12">
      <c r="A374" s="4"/>
      <c r="D374" t="str">
        <f>IF($C374="","",IFERROR(INDEX(Orders!$B:$B,MATCH($C374,Orders!$A:$A,0)),""))</f>
        <v/>
      </c>
      <c r="E374" t="str">
        <f>IF($C374="","",IFERROR(INDEX(Orders!$D:$D,MATCH($C374,Orders!$A:$A,0)),""))</f>
        <v/>
      </c>
      <c r="H374" s="5"/>
      <c r="I374" s="5"/>
      <c r="J374" s="5"/>
      <c r="K374" s="5"/>
      <c r="L374" s="5" t="str">
        <f t="shared" si="5"/>
        <v/>
      </c>
    </row>
    <row r="375" spans="1:12">
      <c r="A375" s="4"/>
      <c r="D375" t="str">
        <f>IF($C375="","",IFERROR(INDEX(Orders!$B:$B,MATCH($C375,Orders!$A:$A,0)),""))</f>
        <v/>
      </c>
      <c r="E375" t="str">
        <f>IF($C375="","",IFERROR(INDEX(Orders!$D:$D,MATCH($C375,Orders!$A:$A,0)),""))</f>
        <v/>
      </c>
      <c r="H375" s="5"/>
      <c r="I375" s="5"/>
      <c r="J375" s="5"/>
      <c r="K375" s="5"/>
      <c r="L375" s="5" t="str">
        <f t="shared" si="5"/>
        <v/>
      </c>
    </row>
    <row r="376" spans="1:12">
      <c r="A376" s="4"/>
      <c r="D376" t="str">
        <f>IF($C376="","",IFERROR(INDEX(Orders!$B:$B,MATCH($C376,Orders!$A:$A,0)),""))</f>
        <v/>
      </c>
      <c r="E376" t="str">
        <f>IF($C376="","",IFERROR(INDEX(Orders!$D:$D,MATCH($C376,Orders!$A:$A,0)),""))</f>
        <v/>
      </c>
      <c r="H376" s="5"/>
      <c r="I376" s="5"/>
      <c r="J376" s="5"/>
      <c r="K376" s="5"/>
      <c r="L376" s="5" t="str">
        <f t="shared" si="5"/>
        <v/>
      </c>
    </row>
    <row r="377" spans="1:12">
      <c r="A377" s="4"/>
      <c r="D377" t="str">
        <f>IF($C377="","",IFERROR(INDEX(Orders!$B:$B,MATCH($C377,Orders!$A:$A,0)),""))</f>
        <v/>
      </c>
      <c r="E377" t="str">
        <f>IF($C377="","",IFERROR(INDEX(Orders!$D:$D,MATCH($C377,Orders!$A:$A,0)),""))</f>
        <v/>
      </c>
      <c r="H377" s="5"/>
      <c r="I377" s="5"/>
      <c r="J377" s="5"/>
      <c r="K377" s="5"/>
      <c r="L377" s="5" t="str">
        <f t="shared" si="5"/>
        <v/>
      </c>
    </row>
    <row r="378" spans="1:12">
      <c r="A378" s="4"/>
      <c r="D378" t="str">
        <f>IF($C378="","",IFERROR(INDEX(Orders!$B:$B,MATCH($C378,Orders!$A:$A,0)),""))</f>
        <v/>
      </c>
      <c r="E378" t="str">
        <f>IF($C378="","",IFERROR(INDEX(Orders!$D:$D,MATCH($C378,Orders!$A:$A,0)),""))</f>
        <v/>
      </c>
      <c r="H378" s="5"/>
      <c r="I378" s="5"/>
      <c r="J378" s="5"/>
      <c r="K378" s="5"/>
      <c r="L378" s="5" t="str">
        <f t="shared" si="5"/>
        <v/>
      </c>
    </row>
    <row r="379" spans="1:12">
      <c r="A379" s="4"/>
      <c r="D379" t="str">
        <f>IF($C379="","",IFERROR(INDEX(Orders!$B:$B,MATCH($C379,Orders!$A:$A,0)),""))</f>
        <v/>
      </c>
      <c r="E379" t="str">
        <f>IF($C379="","",IFERROR(INDEX(Orders!$D:$D,MATCH($C379,Orders!$A:$A,0)),""))</f>
        <v/>
      </c>
      <c r="H379" s="5"/>
      <c r="I379" s="5"/>
      <c r="J379" s="5"/>
      <c r="K379" s="5"/>
      <c r="L379" s="5" t="str">
        <f t="shared" si="5"/>
        <v/>
      </c>
    </row>
    <row r="380" spans="1:12">
      <c r="A380" s="4"/>
      <c r="D380" t="str">
        <f>IF($C380="","",IFERROR(INDEX(Orders!$B:$B,MATCH($C380,Orders!$A:$A,0)),""))</f>
        <v/>
      </c>
      <c r="E380" t="str">
        <f>IF($C380="","",IFERROR(INDEX(Orders!$D:$D,MATCH($C380,Orders!$A:$A,0)),""))</f>
        <v/>
      </c>
      <c r="H380" s="5"/>
      <c r="I380" s="5"/>
      <c r="J380" s="5"/>
      <c r="K380" s="5"/>
      <c r="L380" s="5" t="str">
        <f t="shared" si="5"/>
        <v/>
      </c>
    </row>
    <row r="381" spans="1:12">
      <c r="A381" s="4"/>
      <c r="D381" t="str">
        <f>IF($C381="","",IFERROR(INDEX(Orders!$B:$B,MATCH($C381,Orders!$A:$A,0)),""))</f>
        <v/>
      </c>
      <c r="E381" t="str">
        <f>IF($C381="","",IFERROR(INDEX(Orders!$D:$D,MATCH($C381,Orders!$A:$A,0)),""))</f>
        <v/>
      </c>
      <c r="H381" s="5"/>
      <c r="I381" s="5"/>
      <c r="J381" s="5"/>
      <c r="K381" s="5"/>
      <c r="L381" s="5" t="str">
        <f t="shared" si="5"/>
        <v/>
      </c>
    </row>
    <row r="382" spans="1:12">
      <c r="A382" s="4"/>
      <c r="D382" t="str">
        <f>IF($C382="","",IFERROR(INDEX(Orders!$B:$B,MATCH($C382,Orders!$A:$A,0)),""))</f>
        <v/>
      </c>
      <c r="E382" t="str">
        <f>IF($C382="","",IFERROR(INDEX(Orders!$D:$D,MATCH($C382,Orders!$A:$A,0)),""))</f>
        <v/>
      </c>
      <c r="H382" s="5"/>
      <c r="I382" s="5"/>
      <c r="J382" s="5"/>
      <c r="K382" s="5"/>
      <c r="L382" s="5" t="str">
        <f t="shared" si="5"/>
        <v/>
      </c>
    </row>
    <row r="383" spans="1:12">
      <c r="A383" s="4"/>
      <c r="D383" t="str">
        <f>IF($C383="","",IFERROR(INDEX(Orders!$B:$B,MATCH($C383,Orders!$A:$A,0)),""))</f>
        <v/>
      </c>
      <c r="E383" t="str">
        <f>IF($C383="","",IFERROR(INDEX(Orders!$D:$D,MATCH($C383,Orders!$A:$A,0)),""))</f>
        <v/>
      </c>
      <c r="H383" s="5"/>
      <c r="I383" s="5"/>
      <c r="J383" s="5"/>
      <c r="K383" s="5"/>
      <c r="L383" s="5" t="str">
        <f t="shared" si="5"/>
        <v/>
      </c>
    </row>
    <row r="384" spans="1:12">
      <c r="A384" s="4"/>
      <c r="D384" t="str">
        <f>IF($C384="","",IFERROR(INDEX(Orders!$B:$B,MATCH($C384,Orders!$A:$A,0)),""))</f>
        <v/>
      </c>
      <c r="E384" t="str">
        <f>IF($C384="","",IFERROR(INDEX(Orders!$D:$D,MATCH($C384,Orders!$A:$A,0)),""))</f>
        <v/>
      </c>
      <c r="H384" s="5"/>
      <c r="I384" s="5"/>
      <c r="J384" s="5"/>
      <c r="K384" s="5"/>
      <c r="L384" s="5" t="str">
        <f t="shared" si="5"/>
        <v/>
      </c>
    </row>
    <row r="385" spans="1:12">
      <c r="A385" s="4"/>
      <c r="D385" t="str">
        <f>IF($C385="","",IFERROR(INDEX(Orders!$B:$B,MATCH($C385,Orders!$A:$A,0)),""))</f>
        <v/>
      </c>
      <c r="E385" t="str">
        <f>IF($C385="","",IFERROR(INDEX(Orders!$D:$D,MATCH($C385,Orders!$A:$A,0)),""))</f>
        <v/>
      </c>
      <c r="H385" s="5"/>
      <c r="I385" s="5"/>
      <c r="J385" s="5"/>
      <c r="K385" s="5"/>
      <c r="L385" s="5" t="str">
        <f t="shared" si="5"/>
        <v/>
      </c>
    </row>
    <row r="386" spans="1:12">
      <c r="A386" s="4"/>
      <c r="D386" t="str">
        <f>IF($C386="","",IFERROR(INDEX(Orders!$B:$B,MATCH($C386,Orders!$A:$A,0)),""))</f>
        <v/>
      </c>
      <c r="E386" t="str">
        <f>IF($C386="","",IFERROR(INDEX(Orders!$D:$D,MATCH($C386,Orders!$A:$A,0)),""))</f>
        <v/>
      </c>
      <c r="H386" s="5"/>
      <c r="I386" s="5"/>
      <c r="J386" s="5"/>
      <c r="K386" s="5"/>
      <c r="L386" s="5" t="str">
        <f t="shared" ref="L386:L449" si="6">IF($C386="","",$H386-$I386-$K386)</f>
        <v/>
      </c>
    </row>
    <row r="387" spans="1:12">
      <c r="A387" s="4"/>
      <c r="D387" t="str">
        <f>IF($C387="","",IFERROR(INDEX(Orders!$B:$B,MATCH($C387,Orders!$A:$A,0)),""))</f>
        <v/>
      </c>
      <c r="E387" t="str">
        <f>IF($C387="","",IFERROR(INDEX(Orders!$D:$D,MATCH($C387,Orders!$A:$A,0)),""))</f>
        <v/>
      </c>
      <c r="H387" s="5"/>
      <c r="I387" s="5"/>
      <c r="J387" s="5"/>
      <c r="K387" s="5"/>
      <c r="L387" s="5" t="str">
        <f t="shared" si="6"/>
        <v/>
      </c>
    </row>
    <row r="388" spans="1:12">
      <c r="A388" s="4"/>
      <c r="D388" t="str">
        <f>IF($C388="","",IFERROR(INDEX(Orders!$B:$B,MATCH($C388,Orders!$A:$A,0)),""))</f>
        <v/>
      </c>
      <c r="E388" t="str">
        <f>IF($C388="","",IFERROR(INDEX(Orders!$D:$D,MATCH($C388,Orders!$A:$A,0)),""))</f>
        <v/>
      </c>
      <c r="H388" s="5"/>
      <c r="I388" s="5"/>
      <c r="J388" s="5"/>
      <c r="K388" s="5"/>
      <c r="L388" s="5" t="str">
        <f t="shared" si="6"/>
        <v/>
      </c>
    </row>
    <row r="389" spans="1:12">
      <c r="A389" s="4"/>
      <c r="D389" t="str">
        <f>IF($C389="","",IFERROR(INDEX(Orders!$B:$B,MATCH($C389,Orders!$A:$A,0)),""))</f>
        <v/>
      </c>
      <c r="E389" t="str">
        <f>IF($C389="","",IFERROR(INDEX(Orders!$D:$D,MATCH($C389,Orders!$A:$A,0)),""))</f>
        <v/>
      </c>
      <c r="H389" s="5"/>
      <c r="I389" s="5"/>
      <c r="J389" s="5"/>
      <c r="K389" s="5"/>
      <c r="L389" s="5" t="str">
        <f t="shared" si="6"/>
        <v/>
      </c>
    </row>
    <row r="390" spans="1:12">
      <c r="A390" s="4"/>
      <c r="D390" t="str">
        <f>IF($C390="","",IFERROR(INDEX(Orders!$B:$B,MATCH($C390,Orders!$A:$A,0)),""))</f>
        <v/>
      </c>
      <c r="E390" t="str">
        <f>IF($C390="","",IFERROR(INDEX(Orders!$D:$D,MATCH($C390,Orders!$A:$A,0)),""))</f>
        <v/>
      </c>
      <c r="H390" s="5"/>
      <c r="I390" s="5"/>
      <c r="J390" s="5"/>
      <c r="K390" s="5"/>
      <c r="L390" s="5" t="str">
        <f t="shared" si="6"/>
        <v/>
      </c>
    </row>
    <row r="391" spans="1:12">
      <c r="A391" s="4"/>
      <c r="D391" t="str">
        <f>IF($C391="","",IFERROR(INDEX(Orders!$B:$B,MATCH($C391,Orders!$A:$A,0)),""))</f>
        <v/>
      </c>
      <c r="E391" t="str">
        <f>IF($C391="","",IFERROR(INDEX(Orders!$D:$D,MATCH($C391,Orders!$A:$A,0)),""))</f>
        <v/>
      </c>
      <c r="H391" s="5"/>
      <c r="I391" s="5"/>
      <c r="J391" s="5"/>
      <c r="K391" s="5"/>
      <c r="L391" s="5" t="str">
        <f t="shared" si="6"/>
        <v/>
      </c>
    </row>
    <row r="392" spans="1:12">
      <c r="A392" s="4"/>
      <c r="D392" t="str">
        <f>IF($C392="","",IFERROR(INDEX(Orders!$B:$B,MATCH($C392,Orders!$A:$A,0)),""))</f>
        <v/>
      </c>
      <c r="E392" t="str">
        <f>IF($C392="","",IFERROR(INDEX(Orders!$D:$D,MATCH($C392,Orders!$A:$A,0)),""))</f>
        <v/>
      </c>
      <c r="H392" s="5"/>
      <c r="I392" s="5"/>
      <c r="J392" s="5"/>
      <c r="K392" s="5"/>
      <c r="L392" s="5" t="str">
        <f t="shared" si="6"/>
        <v/>
      </c>
    </row>
    <row r="393" spans="1:12">
      <c r="A393" s="4"/>
      <c r="D393" t="str">
        <f>IF($C393="","",IFERROR(INDEX(Orders!$B:$B,MATCH($C393,Orders!$A:$A,0)),""))</f>
        <v/>
      </c>
      <c r="E393" t="str">
        <f>IF($C393="","",IFERROR(INDEX(Orders!$D:$D,MATCH($C393,Orders!$A:$A,0)),""))</f>
        <v/>
      </c>
      <c r="H393" s="5"/>
      <c r="I393" s="5"/>
      <c r="J393" s="5"/>
      <c r="K393" s="5"/>
      <c r="L393" s="5" t="str">
        <f t="shared" si="6"/>
        <v/>
      </c>
    </row>
    <row r="394" spans="1:12">
      <c r="A394" s="4"/>
      <c r="D394" t="str">
        <f>IF($C394="","",IFERROR(INDEX(Orders!$B:$B,MATCH($C394,Orders!$A:$A,0)),""))</f>
        <v/>
      </c>
      <c r="E394" t="str">
        <f>IF($C394="","",IFERROR(INDEX(Orders!$D:$D,MATCH($C394,Orders!$A:$A,0)),""))</f>
        <v/>
      </c>
      <c r="H394" s="5"/>
      <c r="I394" s="5"/>
      <c r="J394" s="5"/>
      <c r="K394" s="5"/>
      <c r="L394" s="5" t="str">
        <f t="shared" si="6"/>
        <v/>
      </c>
    </row>
    <row r="395" spans="1:12">
      <c r="A395" s="4"/>
      <c r="D395" t="str">
        <f>IF($C395="","",IFERROR(INDEX(Orders!$B:$B,MATCH($C395,Orders!$A:$A,0)),""))</f>
        <v/>
      </c>
      <c r="E395" t="str">
        <f>IF($C395="","",IFERROR(INDEX(Orders!$D:$D,MATCH($C395,Orders!$A:$A,0)),""))</f>
        <v/>
      </c>
      <c r="H395" s="5"/>
      <c r="I395" s="5"/>
      <c r="J395" s="5"/>
      <c r="K395" s="5"/>
      <c r="L395" s="5" t="str">
        <f t="shared" si="6"/>
        <v/>
      </c>
    </row>
    <row r="396" spans="1:12">
      <c r="A396" s="4"/>
      <c r="D396" t="str">
        <f>IF($C396="","",IFERROR(INDEX(Orders!$B:$B,MATCH($C396,Orders!$A:$A,0)),""))</f>
        <v/>
      </c>
      <c r="E396" t="str">
        <f>IF($C396="","",IFERROR(INDEX(Orders!$D:$D,MATCH($C396,Orders!$A:$A,0)),""))</f>
        <v/>
      </c>
      <c r="H396" s="5"/>
      <c r="I396" s="5"/>
      <c r="J396" s="5"/>
      <c r="K396" s="5"/>
      <c r="L396" s="5" t="str">
        <f t="shared" si="6"/>
        <v/>
      </c>
    </row>
    <row r="397" spans="1:12">
      <c r="A397" s="4"/>
      <c r="D397" t="str">
        <f>IF($C397="","",IFERROR(INDEX(Orders!$B:$B,MATCH($C397,Orders!$A:$A,0)),""))</f>
        <v/>
      </c>
      <c r="E397" t="str">
        <f>IF($C397="","",IFERROR(INDEX(Orders!$D:$D,MATCH($C397,Orders!$A:$A,0)),""))</f>
        <v/>
      </c>
      <c r="H397" s="5"/>
      <c r="I397" s="5"/>
      <c r="J397" s="5"/>
      <c r="K397" s="5"/>
      <c r="L397" s="5" t="str">
        <f t="shared" si="6"/>
        <v/>
      </c>
    </row>
    <row r="398" spans="1:12">
      <c r="A398" s="4"/>
      <c r="D398" t="str">
        <f>IF($C398="","",IFERROR(INDEX(Orders!$B:$B,MATCH($C398,Orders!$A:$A,0)),""))</f>
        <v/>
      </c>
      <c r="E398" t="str">
        <f>IF($C398="","",IFERROR(INDEX(Orders!$D:$D,MATCH($C398,Orders!$A:$A,0)),""))</f>
        <v/>
      </c>
      <c r="H398" s="5"/>
      <c r="I398" s="5"/>
      <c r="J398" s="5"/>
      <c r="K398" s="5"/>
      <c r="L398" s="5" t="str">
        <f t="shared" si="6"/>
        <v/>
      </c>
    </row>
    <row r="399" spans="1:12">
      <c r="A399" s="4"/>
      <c r="D399" t="str">
        <f>IF($C399="","",IFERROR(INDEX(Orders!$B:$B,MATCH($C399,Orders!$A:$A,0)),""))</f>
        <v/>
      </c>
      <c r="E399" t="str">
        <f>IF($C399="","",IFERROR(INDEX(Orders!$D:$D,MATCH($C399,Orders!$A:$A,0)),""))</f>
        <v/>
      </c>
      <c r="H399" s="5"/>
      <c r="I399" s="5"/>
      <c r="J399" s="5"/>
      <c r="K399" s="5"/>
      <c r="L399" s="5" t="str">
        <f t="shared" si="6"/>
        <v/>
      </c>
    </row>
    <row r="400" spans="1:12">
      <c r="A400" s="4"/>
      <c r="D400" t="str">
        <f>IF($C400="","",IFERROR(INDEX(Orders!$B:$B,MATCH($C400,Orders!$A:$A,0)),""))</f>
        <v/>
      </c>
      <c r="E400" t="str">
        <f>IF($C400="","",IFERROR(INDEX(Orders!$D:$D,MATCH($C400,Orders!$A:$A,0)),""))</f>
        <v/>
      </c>
      <c r="H400" s="5"/>
      <c r="I400" s="5"/>
      <c r="J400" s="5"/>
      <c r="K400" s="5"/>
      <c r="L400" s="5" t="str">
        <f t="shared" si="6"/>
        <v/>
      </c>
    </row>
    <row r="401" spans="1:12">
      <c r="A401" s="4"/>
      <c r="D401" t="str">
        <f>IF($C401="","",IFERROR(INDEX(Orders!$B:$B,MATCH($C401,Orders!$A:$A,0)),""))</f>
        <v/>
      </c>
      <c r="E401" t="str">
        <f>IF($C401="","",IFERROR(INDEX(Orders!$D:$D,MATCH($C401,Orders!$A:$A,0)),""))</f>
        <v/>
      </c>
      <c r="H401" s="5"/>
      <c r="I401" s="5"/>
      <c r="J401" s="5"/>
      <c r="K401" s="5"/>
      <c r="L401" s="5" t="str">
        <f t="shared" si="6"/>
        <v/>
      </c>
    </row>
    <row r="402" spans="1:12">
      <c r="A402" s="4"/>
      <c r="D402" t="str">
        <f>IF($C402="","",IFERROR(INDEX(Orders!$B:$B,MATCH($C402,Orders!$A:$A,0)),""))</f>
        <v/>
      </c>
      <c r="E402" t="str">
        <f>IF($C402="","",IFERROR(INDEX(Orders!$D:$D,MATCH($C402,Orders!$A:$A,0)),""))</f>
        <v/>
      </c>
      <c r="H402" s="5"/>
      <c r="I402" s="5"/>
      <c r="J402" s="5"/>
      <c r="K402" s="5"/>
      <c r="L402" s="5" t="str">
        <f t="shared" si="6"/>
        <v/>
      </c>
    </row>
    <row r="403" spans="1:12">
      <c r="A403" s="4"/>
      <c r="D403" t="str">
        <f>IF($C403="","",IFERROR(INDEX(Orders!$B:$B,MATCH($C403,Orders!$A:$A,0)),""))</f>
        <v/>
      </c>
      <c r="E403" t="str">
        <f>IF($C403="","",IFERROR(INDEX(Orders!$D:$D,MATCH($C403,Orders!$A:$A,0)),""))</f>
        <v/>
      </c>
      <c r="H403" s="5"/>
      <c r="I403" s="5"/>
      <c r="J403" s="5"/>
      <c r="K403" s="5"/>
      <c r="L403" s="5" t="str">
        <f t="shared" si="6"/>
        <v/>
      </c>
    </row>
    <row r="404" spans="1:12">
      <c r="A404" s="4"/>
      <c r="D404" t="str">
        <f>IF($C404="","",IFERROR(INDEX(Orders!$B:$B,MATCH($C404,Orders!$A:$A,0)),""))</f>
        <v/>
      </c>
      <c r="E404" t="str">
        <f>IF($C404="","",IFERROR(INDEX(Orders!$D:$D,MATCH($C404,Orders!$A:$A,0)),""))</f>
        <v/>
      </c>
      <c r="H404" s="5"/>
      <c r="I404" s="5"/>
      <c r="J404" s="5"/>
      <c r="K404" s="5"/>
      <c r="L404" s="5" t="str">
        <f t="shared" si="6"/>
        <v/>
      </c>
    </row>
    <row r="405" spans="1:12">
      <c r="A405" s="4"/>
      <c r="D405" t="str">
        <f>IF($C405="","",IFERROR(INDEX(Orders!$B:$B,MATCH($C405,Orders!$A:$A,0)),""))</f>
        <v/>
      </c>
      <c r="E405" t="str">
        <f>IF($C405="","",IFERROR(INDEX(Orders!$D:$D,MATCH($C405,Orders!$A:$A,0)),""))</f>
        <v/>
      </c>
      <c r="H405" s="5"/>
      <c r="I405" s="5"/>
      <c r="J405" s="5"/>
      <c r="K405" s="5"/>
      <c r="L405" s="5" t="str">
        <f t="shared" si="6"/>
        <v/>
      </c>
    </row>
    <row r="406" spans="1:12">
      <c r="A406" s="4"/>
      <c r="D406" t="str">
        <f>IF($C406="","",IFERROR(INDEX(Orders!$B:$B,MATCH($C406,Orders!$A:$A,0)),""))</f>
        <v/>
      </c>
      <c r="E406" t="str">
        <f>IF($C406="","",IFERROR(INDEX(Orders!$D:$D,MATCH($C406,Orders!$A:$A,0)),""))</f>
        <v/>
      </c>
      <c r="H406" s="5"/>
      <c r="I406" s="5"/>
      <c r="J406" s="5"/>
      <c r="K406" s="5"/>
      <c r="L406" s="5" t="str">
        <f t="shared" si="6"/>
        <v/>
      </c>
    </row>
    <row r="407" spans="1:12">
      <c r="A407" s="4"/>
      <c r="D407" t="str">
        <f>IF($C407="","",IFERROR(INDEX(Orders!$B:$B,MATCH($C407,Orders!$A:$A,0)),""))</f>
        <v/>
      </c>
      <c r="E407" t="str">
        <f>IF($C407="","",IFERROR(INDEX(Orders!$D:$D,MATCH($C407,Orders!$A:$A,0)),""))</f>
        <v/>
      </c>
      <c r="H407" s="5"/>
      <c r="I407" s="5"/>
      <c r="J407" s="5"/>
      <c r="K407" s="5"/>
      <c r="L407" s="5" t="str">
        <f t="shared" si="6"/>
        <v/>
      </c>
    </row>
    <row r="408" spans="1:12">
      <c r="A408" s="4"/>
      <c r="D408" t="str">
        <f>IF($C408="","",IFERROR(INDEX(Orders!$B:$B,MATCH($C408,Orders!$A:$A,0)),""))</f>
        <v/>
      </c>
      <c r="E408" t="str">
        <f>IF($C408="","",IFERROR(INDEX(Orders!$D:$D,MATCH($C408,Orders!$A:$A,0)),""))</f>
        <v/>
      </c>
      <c r="H408" s="5"/>
      <c r="I408" s="5"/>
      <c r="J408" s="5"/>
      <c r="K408" s="5"/>
      <c r="L408" s="5" t="str">
        <f t="shared" si="6"/>
        <v/>
      </c>
    </row>
    <row r="409" spans="1:12">
      <c r="A409" s="4"/>
      <c r="D409" t="str">
        <f>IF($C409="","",IFERROR(INDEX(Orders!$B:$B,MATCH($C409,Orders!$A:$A,0)),""))</f>
        <v/>
      </c>
      <c r="E409" t="str">
        <f>IF($C409="","",IFERROR(INDEX(Orders!$D:$D,MATCH($C409,Orders!$A:$A,0)),""))</f>
        <v/>
      </c>
      <c r="H409" s="5"/>
      <c r="I409" s="5"/>
      <c r="J409" s="5"/>
      <c r="K409" s="5"/>
      <c r="L409" s="5" t="str">
        <f t="shared" si="6"/>
        <v/>
      </c>
    </row>
    <row r="410" spans="1:12">
      <c r="A410" s="4"/>
      <c r="D410" t="str">
        <f>IF($C410="","",IFERROR(INDEX(Orders!$B:$B,MATCH($C410,Orders!$A:$A,0)),""))</f>
        <v/>
      </c>
      <c r="E410" t="str">
        <f>IF($C410="","",IFERROR(INDEX(Orders!$D:$D,MATCH($C410,Orders!$A:$A,0)),""))</f>
        <v/>
      </c>
      <c r="H410" s="5"/>
      <c r="I410" s="5"/>
      <c r="J410" s="5"/>
      <c r="K410" s="5"/>
      <c r="L410" s="5" t="str">
        <f t="shared" si="6"/>
        <v/>
      </c>
    </row>
    <row r="411" spans="1:12">
      <c r="A411" s="4"/>
      <c r="D411" t="str">
        <f>IF($C411="","",IFERROR(INDEX(Orders!$B:$B,MATCH($C411,Orders!$A:$A,0)),""))</f>
        <v/>
      </c>
      <c r="E411" t="str">
        <f>IF($C411="","",IFERROR(INDEX(Orders!$D:$D,MATCH($C411,Orders!$A:$A,0)),""))</f>
        <v/>
      </c>
      <c r="H411" s="5"/>
      <c r="I411" s="5"/>
      <c r="J411" s="5"/>
      <c r="K411" s="5"/>
      <c r="L411" s="5" t="str">
        <f t="shared" si="6"/>
        <v/>
      </c>
    </row>
    <row r="412" spans="1:12">
      <c r="A412" s="4"/>
      <c r="D412" t="str">
        <f>IF($C412="","",IFERROR(INDEX(Orders!$B:$B,MATCH($C412,Orders!$A:$A,0)),""))</f>
        <v/>
      </c>
      <c r="E412" t="str">
        <f>IF($C412="","",IFERROR(INDEX(Orders!$D:$D,MATCH($C412,Orders!$A:$A,0)),""))</f>
        <v/>
      </c>
      <c r="H412" s="5"/>
      <c r="I412" s="5"/>
      <c r="J412" s="5"/>
      <c r="K412" s="5"/>
      <c r="L412" s="5" t="str">
        <f t="shared" si="6"/>
        <v/>
      </c>
    </row>
    <row r="413" spans="1:12">
      <c r="A413" s="4"/>
      <c r="D413" t="str">
        <f>IF($C413="","",IFERROR(INDEX(Orders!$B:$B,MATCH($C413,Orders!$A:$A,0)),""))</f>
        <v/>
      </c>
      <c r="E413" t="str">
        <f>IF($C413="","",IFERROR(INDEX(Orders!$D:$D,MATCH($C413,Orders!$A:$A,0)),""))</f>
        <v/>
      </c>
      <c r="H413" s="5"/>
      <c r="I413" s="5"/>
      <c r="J413" s="5"/>
      <c r="K413" s="5"/>
      <c r="L413" s="5" t="str">
        <f t="shared" si="6"/>
        <v/>
      </c>
    </row>
    <row r="414" spans="1:12">
      <c r="A414" s="4"/>
      <c r="D414" t="str">
        <f>IF($C414="","",IFERROR(INDEX(Orders!$B:$B,MATCH($C414,Orders!$A:$A,0)),""))</f>
        <v/>
      </c>
      <c r="E414" t="str">
        <f>IF($C414="","",IFERROR(INDEX(Orders!$D:$D,MATCH($C414,Orders!$A:$A,0)),""))</f>
        <v/>
      </c>
      <c r="H414" s="5"/>
      <c r="I414" s="5"/>
      <c r="J414" s="5"/>
      <c r="K414" s="5"/>
      <c r="L414" s="5" t="str">
        <f t="shared" si="6"/>
        <v/>
      </c>
    </row>
    <row r="415" spans="1:12">
      <c r="A415" s="4"/>
      <c r="D415" t="str">
        <f>IF($C415="","",IFERROR(INDEX(Orders!$B:$B,MATCH($C415,Orders!$A:$A,0)),""))</f>
        <v/>
      </c>
      <c r="E415" t="str">
        <f>IF($C415="","",IFERROR(INDEX(Orders!$D:$D,MATCH($C415,Orders!$A:$A,0)),""))</f>
        <v/>
      </c>
      <c r="H415" s="5"/>
      <c r="I415" s="5"/>
      <c r="J415" s="5"/>
      <c r="K415" s="5"/>
      <c r="L415" s="5" t="str">
        <f t="shared" si="6"/>
        <v/>
      </c>
    </row>
    <row r="416" spans="1:12">
      <c r="A416" s="4"/>
      <c r="D416" t="str">
        <f>IF($C416="","",IFERROR(INDEX(Orders!$B:$B,MATCH($C416,Orders!$A:$A,0)),""))</f>
        <v/>
      </c>
      <c r="E416" t="str">
        <f>IF($C416="","",IFERROR(INDEX(Orders!$D:$D,MATCH($C416,Orders!$A:$A,0)),""))</f>
        <v/>
      </c>
      <c r="H416" s="5"/>
      <c r="I416" s="5"/>
      <c r="J416" s="5"/>
      <c r="K416" s="5"/>
      <c r="L416" s="5" t="str">
        <f t="shared" si="6"/>
        <v/>
      </c>
    </row>
    <row r="417" spans="1:12">
      <c r="A417" s="4"/>
      <c r="D417" t="str">
        <f>IF($C417="","",IFERROR(INDEX(Orders!$B:$B,MATCH($C417,Orders!$A:$A,0)),""))</f>
        <v/>
      </c>
      <c r="E417" t="str">
        <f>IF($C417="","",IFERROR(INDEX(Orders!$D:$D,MATCH($C417,Orders!$A:$A,0)),""))</f>
        <v/>
      </c>
      <c r="H417" s="5"/>
      <c r="I417" s="5"/>
      <c r="J417" s="5"/>
      <c r="K417" s="5"/>
      <c r="L417" s="5" t="str">
        <f t="shared" si="6"/>
        <v/>
      </c>
    </row>
    <row r="418" spans="1:12">
      <c r="A418" s="4"/>
      <c r="D418" t="str">
        <f>IF($C418="","",IFERROR(INDEX(Orders!$B:$B,MATCH($C418,Orders!$A:$A,0)),""))</f>
        <v/>
      </c>
      <c r="E418" t="str">
        <f>IF($C418="","",IFERROR(INDEX(Orders!$D:$D,MATCH($C418,Orders!$A:$A,0)),""))</f>
        <v/>
      </c>
      <c r="H418" s="5"/>
      <c r="I418" s="5"/>
      <c r="J418" s="5"/>
      <c r="K418" s="5"/>
      <c r="L418" s="5" t="str">
        <f t="shared" si="6"/>
        <v/>
      </c>
    </row>
    <row r="419" spans="1:12">
      <c r="A419" s="4"/>
      <c r="D419" t="str">
        <f>IF($C419="","",IFERROR(INDEX(Orders!$B:$B,MATCH($C419,Orders!$A:$A,0)),""))</f>
        <v/>
      </c>
      <c r="E419" t="str">
        <f>IF($C419="","",IFERROR(INDEX(Orders!$D:$D,MATCH($C419,Orders!$A:$A,0)),""))</f>
        <v/>
      </c>
      <c r="H419" s="5"/>
      <c r="I419" s="5"/>
      <c r="J419" s="5"/>
      <c r="K419" s="5"/>
      <c r="L419" s="5" t="str">
        <f t="shared" si="6"/>
        <v/>
      </c>
    </row>
    <row r="420" spans="1:12">
      <c r="A420" s="4"/>
      <c r="D420" t="str">
        <f>IF($C420="","",IFERROR(INDEX(Orders!$B:$B,MATCH($C420,Orders!$A:$A,0)),""))</f>
        <v/>
      </c>
      <c r="E420" t="str">
        <f>IF($C420="","",IFERROR(INDEX(Orders!$D:$D,MATCH($C420,Orders!$A:$A,0)),""))</f>
        <v/>
      </c>
      <c r="H420" s="5"/>
      <c r="I420" s="5"/>
      <c r="J420" s="5"/>
      <c r="K420" s="5"/>
      <c r="L420" s="5" t="str">
        <f t="shared" si="6"/>
        <v/>
      </c>
    </row>
    <row r="421" spans="1:12">
      <c r="A421" s="4"/>
      <c r="D421" t="str">
        <f>IF($C421="","",IFERROR(INDEX(Orders!$B:$B,MATCH($C421,Orders!$A:$A,0)),""))</f>
        <v/>
      </c>
      <c r="E421" t="str">
        <f>IF($C421="","",IFERROR(INDEX(Orders!$D:$D,MATCH($C421,Orders!$A:$A,0)),""))</f>
        <v/>
      </c>
      <c r="H421" s="5"/>
      <c r="I421" s="5"/>
      <c r="J421" s="5"/>
      <c r="K421" s="5"/>
      <c r="L421" s="5" t="str">
        <f t="shared" si="6"/>
        <v/>
      </c>
    </row>
    <row r="422" spans="1:12">
      <c r="A422" s="4"/>
      <c r="D422" t="str">
        <f>IF($C422="","",IFERROR(INDEX(Orders!$B:$B,MATCH($C422,Orders!$A:$A,0)),""))</f>
        <v/>
      </c>
      <c r="E422" t="str">
        <f>IF($C422="","",IFERROR(INDEX(Orders!$D:$D,MATCH($C422,Orders!$A:$A,0)),""))</f>
        <v/>
      </c>
      <c r="H422" s="5"/>
      <c r="I422" s="5"/>
      <c r="J422" s="5"/>
      <c r="K422" s="5"/>
      <c r="L422" s="5" t="str">
        <f t="shared" si="6"/>
        <v/>
      </c>
    </row>
    <row r="423" spans="1:12">
      <c r="A423" s="4"/>
      <c r="D423" t="str">
        <f>IF($C423="","",IFERROR(INDEX(Orders!$B:$B,MATCH($C423,Orders!$A:$A,0)),""))</f>
        <v/>
      </c>
      <c r="E423" t="str">
        <f>IF($C423="","",IFERROR(INDEX(Orders!$D:$D,MATCH($C423,Orders!$A:$A,0)),""))</f>
        <v/>
      </c>
      <c r="H423" s="5"/>
      <c r="I423" s="5"/>
      <c r="J423" s="5"/>
      <c r="K423" s="5"/>
      <c r="L423" s="5" t="str">
        <f t="shared" si="6"/>
        <v/>
      </c>
    </row>
    <row r="424" spans="1:12">
      <c r="A424" s="4"/>
      <c r="D424" t="str">
        <f>IF($C424="","",IFERROR(INDEX(Orders!$B:$B,MATCH($C424,Orders!$A:$A,0)),""))</f>
        <v/>
      </c>
      <c r="E424" t="str">
        <f>IF($C424="","",IFERROR(INDEX(Orders!$D:$D,MATCH($C424,Orders!$A:$A,0)),""))</f>
        <v/>
      </c>
      <c r="H424" s="5"/>
      <c r="I424" s="5"/>
      <c r="J424" s="5"/>
      <c r="K424" s="5"/>
      <c r="L424" s="5" t="str">
        <f t="shared" si="6"/>
        <v/>
      </c>
    </row>
    <row r="425" spans="1:12">
      <c r="A425" s="4"/>
      <c r="D425" t="str">
        <f>IF($C425="","",IFERROR(INDEX(Orders!$B:$B,MATCH($C425,Orders!$A:$A,0)),""))</f>
        <v/>
      </c>
      <c r="E425" t="str">
        <f>IF($C425="","",IFERROR(INDEX(Orders!$D:$D,MATCH($C425,Orders!$A:$A,0)),""))</f>
        <v/>
      </c>
      <c r="H425" s="5"/>
      <c r="I425" s="5"/>
      <c r="J425" s="5"/>
      <c r="K425" s="5"/>
      <c r="L425" s="5" t="str">
        <f t="shared" si="6"/>
        <v/>
      </c>
    </row>
    <row r="426" spans="1:12">
      <c r="A426" s="4"/>
      <c r="D426" t="str">
        <f>IF($C426="","",IFERROR(INDEX(Orders!$B:$B,MATCH($C426,Orders!$A:$A,0)),""))</f>
        <v/>
      </c>
      <c r="E426" t="str">
        <f>IF($C426="","",IFERROR(INDEX(Orders!$D:$D,MATCH($C426,Orders!$A:$A,0)),""))</f>
        <v/>
      </c>
      <c r="H426" s="5"/>
      <c r="I426" s="5"/>
      <c r="J426" s="5"/>
      <c r="K426" s="5"/>
      <c r="L426" s="5" t="str">
        <f t="shared" si="6"/>
        <v/>
      </c>
    </row>
    <row r="427" spans="1:12">
      <c r="A427" s="4"/>
      <c r="D427" t="str">
        <f>IF($C427="","",IFERROR(INDEX(Orders!$B:$B,MATCH($C427,Orders!$A:$A,0)),""))</f>
        <v/>
      </c>
      <c r="E427" t="str">
        <f>IF($C427="","",IFERROR(INDEX(Orders!$D:$D,MATCH($C427,Orders!$A:$A,0)),""))</f>
        <v/>
      </c>
      <c r="H427" s="5"/>
      <c r="I427" s="5"/>
      <c r="J427" s="5"/>
      <c r="K427" s="5"/>
      <c r="L427" s="5" t="str">
        <f t="shared" si="6"/>
        <v/>
      </c>
    </row>
    <row r="428" spans="1:12">
      <c r="A428" s="4"/>
      <c r="D428" t="str">
        <f>IF($C428="","",IFERROR(INDEX(Orders!$B:$B,MATCH($C428,Orders!$A:$A,0)),""))</f>
        <v/>
      </c>
      <c r="E428" t="str">
        <f>IF($C428="","",IFERROR(INDEX(Orders!$D:$D,MATCH($C428,Orders!$A:$A,0)),""))</f>
        <v/>
      </c>
      <c r="H428" s="5"/>
      <c r="I428" s="5"/>
      <c r="J428" s="5"/>
      <c r="K428" s="5"/>
      <c r="L428" s="5" t="str">
        <f t="shared" si="6"/>
        <v/>
      </c>
    </row>
    <row r="429" spans="1:12">
      <c r="A429" s="4"/>
      <c r="D429" t="str">
        <f>IF($C429="","",IFERROR(INDEX(Orders!$B:$B,MATCH($C429,Orders!$A:$A,0)),""))</f>
        <v/>
      </c>
      <c r="E429" t="str">
        <f>IF($C429="","",IFERROR(INDEX(Orders!$D:$D,MATCH($C429,Orders!$A:$A,0)),""))</f>
        <v/>
      </c>
      <c r="H429" s="5"/>
      <c r="I429" s="5"/>
      <c r="J429" s="5"/>
      <c r="K429" s="5"/>
      <c r="L429" s="5" t="str">
        <f t="shared" si="6"/>
        <v/>
      </c>
    </row>
    <row r="430" spans="1:12">
      <c r="A430" s="4"/>
      <c r="D430" t="str">
        <f>IF($C430="","",IFERROR(INDEX(Orders!$B:$B,MATCH($C430,Orders!$A:$A,0)),""))</f>
        <v/>
      </c>
      <c r="E430" t="str">
        <f>IF($C430="","",IFERROR(INDEX(Orders!$D:$D,MATCH($C430,Orders!$A:$A,0)),""))</f>
        <v/>
      </c>
      <c r="H430" s="5"/>
      <c r="I430" s="5"/>
      <c r="J430" s="5"/>
      <c r="K430" s="5"/>
      <c r="L430" s="5" t="str">
        <f t="shared" si="6"/>
        <v/>
      </c>
    </row>
    <row r="431" spans="1:12">
      <c r="A431" s="4"/>
      <c r="D431" t="str">
        <f>IF($C431="","",IFERROR(INDEX(Orders!$B:$B,MATCH($C431,Orders!$A:$A,0)),""))</f>
        <v/>
      </c>
      <c r="E431" t="str">
        <f>IF($C431="","",IFERROR(INDEX(Orders!$D:$D,MATCH($C431,Orders!$A:$A,0)),""))</f>
        <v/>
      </c>
      <c r="H431" s="5"/>
      <c r="I431" s="5"/>
      <c r="J431" s="5"/>
      <c r="K431" s="5"/>
      <c r="L431" s="5" t="str">
        <f t="shared" si="6"/>
        <v/>
      </c>
    </row>
    <row r="432" spans="1:12">
      <c r="A432" s="4"/>
      <c r="D432" t="str">
        <f>IF($C432="","",IFERROR(INDEX(Orders!$B:$B,MATCH($C432,Orders!$A:$A,0)),""))</f>
        <v/>
      </c>
      <c r="E432" t="str">
        <f>IF($C432="","",IFERROR(INDEX(Orders!$D:$D,MATCH($C432,Orders!$A:$A,0)),""))</f>
        <v/>
      </c>
      <c r="H432" s="5"/>
      <c r="I432" s="5"/>
      <c r="J432" s="5"/>
      <c r="K432" s="5"/>
      <c r="L432" s="5" t="str">
        <f t="shared" si="6"/>
        <v/>
      </c>
    </row>
    <row r="433" spans="1:12">
      <c r="A433" s="4"/>
      <c r="D433" t="str">
        <f>IF($C433="","",IFERROR(INDEX(Orders!$B:$B,MATCH($C433,Orders!$A:$A,0)),""))</f>
        <v/>
      </c>
      <c r="E433" t="str">
        <f>IF($C433="","",IFERROR(INDEX(Orders!$D:$D,MATCH($C433,Orders!$A:$A,0)),""))</f>
        <v/>
      </c>
      <c r="H433" s="5"/>
      <c r="I433" s="5"/>
      <c r="J433" s="5"/>
      <c r="K433" s="5"/>
      <c r="L433" s="5" t="str">
        <f t="shared" si="6"/>
        <v/>
      </c>
    </row>
    <row r="434" spans="1:12">
      <c r="A434" s="4"/>
      <c r="D434" t="str">
        <f>IF($C434="","",IFERROR(INDEX(Orders!$B:$B,MATCH($C434,Orders!$A:$A,0)),""))</f>
        <v/>
      </c>
      <c r="E434" t="str">
        <f>IF($C434="","",IFERROR(INDEX(Orders!$D:$D,MATCH($C434,Orders!$A:$A,0)),""))</f>
        <v/>
      </c>
      <c r="H434" s="5"/>
      <c r="I434" s="5"/>
      <c r="J434" s="5"/>
      <c r="K434" s="5"/>
      <c r="L434" s="5" t="str">
        <f t="shared" si="6"/>
        <v/>
      </c>
    </row>
    <row r="435" spans="1:12">
      <c r="A435" s="4"/>
      <c r="D435" t="str">
        <f>IF($C435="","",IFERROR(INDEX(Orders!$B:$B,MATCH($C435,Orders!$A:$A,0)),""))</f>
        <v/>
      </c>
      <c r="E435" t="str">
        <f>IF($C435="","",IFERROR(INDEX(Orders!$D:$D,MATCH($C435,Orders!$A:$A,0)),""))</f>
        <v/>
      </c>
      <c r="H435" s="5"/>
      <c r="I435" s="5"/>
      <c r="J435" s="5"/>
      <c r="K435" s="5"/>
      <c r="L435" s="5" t="str">
        <f t="shared" si="6"/>
        <v/>
      </c>
    </row>
    <row r="436" spans="1:12">
      <c r="A436" s="4"/>
      <c r="D436" t="str">
        <f>IF($C436="","",IFERROR(INDEX(Orders!$B:$B,MATCH($C436,Orders!$A:$A,0)),""))</f>
        <v/>
      </c>
      <c r="E436" t="str">
        <f>IF($C436="","",IFERROR(INDEX(Orders!$D:$D,MATCH($C436,Orders!$A:$A,0)),""))</f>
        <v/>
      </c>
      <c r="H436" s="5"/>
      <c r="I436" s="5"/>
      <c r="J436" s="5"/>
      <c r="K436" s="5"/>
      <c r="L436" s="5" t="str">
        <f t="shared" si="6"/>
        <v/>
      </c>
    </row>
    <row r="437" spans="1:12">
      <c r="A437" s="4"/>
      <c r="D437" t="str">
        <f>IF($C437="","",IFERROR(INDEX(Orders!$B:$B,MATCH($C437,Orders!$A:$A,0)),""))</f>
        <v/>
      </c>
      <c r="E437" t="str">
        <f>IF($C437="","",IFERROR(INDEX(Orders!$D:$D,MATCH($C437,Orders!$A:$A,0)),""))</f>
        <v/>
      </c>
      <c r="H437" s="5"/>
      <c r="I437" s="5"/>
      <c r="J437" s="5"/>
      <c r="K437" s="5"/>
      <c r="L437" s="5" t="str">
        <f t="shared" si="6"/>
        <v/>
      </c>
    </row>
    <row r="438" spans="1:12">
      <c r="A438" s="4"/>
      <c r="D438" t="str">
        <f>IF($C438="","",IFERROR(INDEX(Orders!$B:$B,MATCH($C438,Orders!$A:$A,0)),""))</f>
        <v/>
      </c>
      <c r="E438" t="str">
        <f>IF($C438="","",IFERROR(INDEX(Orders!$D:$D,MATCH($C438,Orders!$A:$A,0)),""))</f>
        <v/>
      </c>
      <c r="H438" s="5"/>
      <c r="I438" s="5"/>
      <c r="J438" s="5"/>
      <c r="K438" s="5"/>
      <c r="L438" s="5" t="str">
        <f t="shared" si="6"/>
        <v/>
      </c>
    </row>
    <row r="439" spans="1:12">
      <c r="A439" s="4"/>
      <c r="D439" t="str">
        <f>IF($C439="","",IFERROR(INDEX(Orders!$B:$B,MATCH($C439,Orders!$A:$A,0)),""))</f>
        <v/>
      </c>
      <c r="E439" t="str">
        <f>IF($C439="","",IFERROR(INDEX(Orders!$D:$D,MATCH($C439,Orders!$A:$A,0)),""))</f>
        <v/>
      </c>
      <c r="H439" s="5"/>
      <c r="I439" s="5"/>
      <c r="J439" s="5"/>
      <c r="K439" s="5"/>
      <c r="L439" s="5" t="str">
        <f t="shared" si="6"/>
        <v/>
      </c>
    </row>
    <row r="440" spans="1:12">
      <c r="A440" s="4"/>
      <c r="D440" t="str">
        <f>IF($C440="","",IFERROR(INDEX(Orders!$B:$B,MATCH($C440,Orders!$A:$A,0)),""))</f>
        <v/>
      </c>
      <c r="E440" t="str">
        <f>IF($C440="","",IFERROR(INDEX(Orders!$D:$D,MATCH($C440,Orders!$A:$A,0)),""))</f>
        <v/>
      </c>
      <c r="H440" s="5"/>
      <c r="I440" s="5"/>
      <c r="J440" s="5"/>
      <c r="K440" s="5"/>
      <c r="L440" s="5" t="str">
        <f t="shared" si="6"/>
        <v/>
      </c>
    </row>
    <row r="441" spans="1:12">
      <c r="A441" s="4"/>
      <c r="D441" t="str">
        <f>IF($C441="","",IFERROR(INDEX(Orders!$B:$B,MATCH($C441,Orders!$A:$A,0)),""))</f>
        <v/>
      </c>
      <c r="E441" t="str">
        <f>IF($C441="","",IFERROR(INDEX(Orders!$D:$D,MATCH($C441,Orders!$A:$A,0)),""))</f>
        <v/>
      </c>
      <c r="H441" s="5"/>
      <c r="I441" s="5"/>
      <c r="J441" s="5"/>
      <c r="K441" s="5"/>
      <c r="L441" s="5" t="str">
        <f t="shared" si="6"/>
        <v/>
      </c>
    </row>
    <row r="442" spans="1:12">
      <c r="A442" s="4"/>
      <c r="D442" t="str">
        <f>IF($C442="","",IFERROR(INDEX(Orders!$B:$B,MATCH($C442,Orders!$A:$A,0)),""))</f>
        <v/>
      </c>
      <c r="E442" t="str">
        <f>IF($C442="","",IFERROR(INDEX(Orders!$D:$D,MATCH($C442,Orders!$A:$A,0)),""))</f>
        <v/>
      </c>
      <c r="H442" s="5"/>
      <c r="I442" s="5"/>
      <c r="J442" s="5"/>
      <c r="K442" s="5"/>
      <c r="L442" s="5" t="str">
        <f t="shared" si="6"/>
        <v/>
      </c>
    </row>
    <row r="443" spans="1:12">
      <c r="A443" s="4"/>
      <c r="D443" t="str">
        <f>IF($C443="","",IFERROR(INDEX(Orders!$B:$B,MATCH($C443,Orders!$A:$A,0)),""))</f>
        <v/>
      </c>
      <c r="E443" t="str">
        <f>IF($C443="","",IFERROR(INDEX(Orders!$D:$D,MATCH($C443,Orders!$A:$A,0)),""))</f>
        <v/>
      </c>
      <c r="H443" s="5"/>
      <c r="I443" s="5"/>
      <c r="J443" s="5"/>
      <c r="K443" s="5"/>
      <c r="L443" s="5" t="str">
        <f t="shared" si="6"/>
        <v/>
      </c>
    </row>
    <row r="444" spans="1:12">
      <c r="A444" s="4"/>
      <c r="D444" t="str">
        <f>IF($C444="","",IFERROR(INDEX(Orders!$B:$B,MATCH($C444,Orders!$A:$A,0)),""))</f>
        <v/>
      </c>
      <c r="E444" t="str">
        <f>IF($C444="","",IFERROR(INDEX(Orders!$D:$D,MATCH($C444,Orders!$A:$A,0)),""))</f>
        <v/>
      </c>
      <c r="H444" s="5"/>
      <c r="I444" s="5"/>
      <c r="J444" s="5"/>
      <c r="K444" s="5"/>
      <c r="L444" s="5" t="str">
        <f t="shared" si="6"/>
        <v/>
      </c>
    </row>
    <row r="445" spans="1:12">
      <c r="A445" s="4"/>
      <c r="D445" t="str">
        <f>IF($C445="","",IFERROR(INDEX(Orders!$B:$B,MATCH($C445,Orders!$A:$A,0)),""))</f>
        <v/>
      </c>
      <c r="E445" t="str">
        <f>IF($C445="","",IFERROR(INDEX(Orders!$D:$D,MATCH($C445,Orders!$A:$A,0)),""))</f>
        <v/>
      </c>
      <c r="H445" s="5"/>
      <c r="I445" s="5"/>
      <c r="J445" s="5"/>
      <c r="K445" s="5"/>
      <c r="L445" s="5" t="str">
        <f t="shared" si="6"/>
        <v/>
      </c>
    </row>
    <row r="446" spans="1:12">
      <c r="A446" s="4"/>
      <c r="D446" t="str">
        <f>IF($C446="","",IFERROR(INDEX(Orders!$B:$B,MATCH($C446,Orders!$A:$A,0)),""))</f>
        <v/>
      </c>
      <c r="E446" t="str">
        <f>IF($C446="","",IFERROR(INDEX(Orders!$D:$D,MATCH($C446,Orders!$A:$A,0)),""))</f>
        <v/>
      </c>
      <c r="H446" s="5"/>
      <c r="I446" s="5"/>
      <c r="J446" s="5"/>
      <c r="K446" s="5"/>
      <c r="L446" s="5" t="str">
        <f t="shared" si="6"/>
        <v/>
      </c>
    </row>
    <row r="447" spans="1:12">
      <c r="A447" s="4"/>
      <c r="D447" t="str">
        <f>IF($C447="","",IFERROR(INDEX(Orders!$B:$B,MATCH($C447,Orders!$A:$A,0)),""))</f>
        <v/>
      </c>
      <c r="E447" t="str">
        <f>IF($C447="","",IFERROR(INDEX(Orders!$D:$D,MATCH($C447,Orders!$A:$A,0)),""))</f>
        <v/>
      </c>
      <c r="H447" s="5"/>
      <c r="I447" s="5"/>
      <c r="J447" s="5"/>
      <c r="K447" s="5"/>
      <c r="L447" s="5" t="str">
        <f t="shared" si="6"/>
        <v/>
      </c>
    </row>
    <row r="448" spans="1:12">
      <c r="A448" s="4"/>
      <c r="D448" t="str">
        <f>IF($C448="","",IFERROR(INDEX(Orders!$B:$B,MATCH($C448,Orders!$A:$A,0)),""))</f>
        <v/>
      </c>
      <c r="E448" t="str">
        <f>IF($C448="","",IFERROR(INDEX(Orders!$D:$D,MATCH($C448,Orders!$A:$A,0)),""))</f>
        <v/>
      </c>
      <c r="H448" s="5"/>
      <c r="I448" s="5"/>
      <c r="J448" s="5"/>
      <c r="K448" s="5"/>
      <c r="L448" s="5" t="str">
        <f t="shared" si="6"/>
        <v/>
      </c>
    </row>
    <row r="449" spans="1:12">
      <c r="A449" s="4"/>
      <c r="D449" t="str">
        <f>IF($C449="","",IFERROR(INDEX(Orders!$B:$B,MATCH($C449,Orders!$A:$A,0)),""))</f>
        <v/>
      </c>
      <c r="E449" t="str">
        <f>IF($C449="","",IFERROR(INDEX(Orders!$D:$D,MATCH($C449,Orders!$A:$A,0)),""))</f>
        <v/>
      </c>
      <c r="H449" s="5"/>
      <c r="I449" s="5"/>
      <c r="J449" s="5"/>
      <c r="K449" s="5"/>
      <c r="L449" s="5" t="str">
        <f t="shared" si="6"/>
        <v/>
      </c>
    </row>
    <row r="450" spans="1:12">
      <c r="A450" s="4"/>
      <c r="D450" t="str">
        <f>IF($C450="","",IFERROR(INDEX(Orders!$B:$B,MATCH($C450,Orders!$A:$A,0)),""))</f>
        <v/>
      </c>
      <c r="E450" t="str">
        <f>IF($C450="","",IFERROR(INDEX(Orders!$D:$D,MATCH($C450,Orders!$A:$A,0)),""))</f>
        <v/>
      </c>
      <c r="H450" s="5"/>
      <c r="I450" s="5"/>
      <c r="J450" s="5"/>
      <c r="K450" s="5"/>
      <c r="L450" s="5" t="str">
        <f t="shared" ref="L450:L513" si="7">IF($C450="","",$H450-$I450-$K450)</f>
        <v/>
      </c>
    </row>
    <row r="451" spans="1:12">
      <c r="A451" s="4"/>
      <c r="D451" t="str">
        <f>IF($C451="","",IFERROR(INDEX(Orders!$B:$B,MATCH($C451,Orders!$A:$A,0)),""))</f>
        <v/>
      </c>
      <c r="E451" t="str">
        <f>IF($C451="","",IFERROR(INDEX(Orders!$D:$D,MATCH($C451,Orders!$A:$A,0)),""))</f>
        <v/>
      </c>
      <c r="H451" s="5"/>
      <c r="I451" s="5"/>
      <c r="J451" s="5"/>
      <c r="K451" s="5"/>
      <c r="L451" s="5" t="str">
        <f t="shared" si="7"/>
        <v/>
      </c>
    </row>
    <row r="452" spans="1:12">
      <c r="A452" s="4"/>
      <c r="D452" t="str">
        <f>IF($C452="","",IFERROR(INDEX(Orders!$B:$B,MATCH($C452,Orders!$A:$A,0)),""))</f>
        <v/>
      </c>
      <c r="E452" t="str">
        <f>IF($C452="","",IFERROR(INDEX(Orders!$D:$D,MATCH($C452,Orders!$A:$A,0)),""))</f>
        <v/>
      </c>
      <c r="H452" s="5"/>
      <c r="I452" s="5"/>
      <c r="J452" s="5"/>
      <c r="K452" s="5"/>
      <c r="L452" s="5" t="str">
        <f t="shared" si="7"/>
        <v/>
      </c>
    </row>
    <row r="453" spans="1:12">
      <c r="A453" s="4"/>
      <c r="D453" t="str">
        <f>IF($C453="","",IFERROR(INDEX(Orders!$B:$B,MATCH($C453,Orders!$A:$A,0)),""))</f>
        <v/>
      </c>
      <c r="E453" t="str">
        <f>IF($C453="","",IFERROR(INDEX(Orders!$D:$D,MATCH($C453,Orders!$A:$A,0)),""))</f>
        <v/>
      </c>
      <c r="H453" s="5"/>
      <c r="I453" s="5"/>
      <c r="J453" s="5"/>
      <c r="K453" s="5"/>
      <c r="L453" s="5" t="str">
        <f t="shared" si="7"/>
        <v/>
      </c>
    </row>
    <row r="454" spans="1:12">
      <c r="A454" s="4"/>
      <c r="D454" t="str">
        <f>IF($C454="","",IFERROR(INDEX(Orders!$B:$B,MATCH($C454,Orders!$A:$A,0)),""))</f>
        <v/>
      </c>
      <c r="E454" t="str">
        <f>IF($C454="","",IFERROR(INDEX(Orders!$D:$D,MATCH($C454,Orders!$A:$A,0)),""))</f>
        <v/>
      </c>
      <c r="H454" s="5"/>
      <c r="I454" s="5"/>
      <c r="J454" s="5"/>
      <c r="K454" s="5"/>
      <c r="L454" s="5" t="str">
        <f t="shared" si="7"/>
        <v/>
      </c>
    </row>
    <row r="455" spans="1:12">
      <c r="A455" s="4"/>
      <c r="D455" t="str">
        <f>IF($C455="","",IFERROR(INDEX(Orders!$B:$B,MATCH($C455,Orders!$A:$A,0)),""))</f>
        <v/>
      </c>
      <c r="E455" t="str">
        <f>IF($C455="","",IFERROR(INDEX(Orders!$D:$D,MATCH($C455,Orders!$A:$A,0)),""))</f>
        <v/>
      </c>
      <c r="H455" s="5"/>
      <c r="I455" s="5"/>
      <c r="J455" s="5"/>
      <c r="K455" s="5"/>
      <c r="L455" s="5" t="str">
        <f t="shared" si="7"/>
        <v/>
      </c>
    </row>
    <row r="456" spans="1:12">
      <c r="A456" s="4"/>
      <c r="D456" t="str">
        <f>IF($C456="","",IFERROR(INDEX(Orders!$B:$B,MATCH($C456,Orders!$A:$A,0)),""))</f>
        <v/>
      </c>
      <c r="E456" t="str">
        <f>IF($C456="","",IFERROR(INDEX(Orders!$D:$D,MATCH($C456,Orders!$A:$A,0)),""))</f>
        <v/>
      </c>
      <c r="H456" s="5"/>
      <c r="I456" s="5"/>
      <c r="J456" s="5"/>
      <c r="K456" s="5"/>
      <c r="L456" s="5" t="str">
        <f t="shared" si="7"/>
        <v/>
      </c>
    </row>
    <row r="457" spans="1:12">
      <c r="A457" s="4"/>
      <c r="D457" t="str">
        <f>IF($C457="","",IFERROR(INDEX(Orders!$B:$B,MATCH($C457,Orders!$A:$A,0)),""))</f>
        <v/>
      </c>
      <c r="E457" t="str">
        <f>IF($C457="","",IFERROR(INDEX(Orders!$D:$D,MATCH($C457,Orders!$A:$A,0)),""))</f>
        <v/>
      </c>
      <c r="H457" s="5"/>
      <c r="I457" s="5"/>
      <c r="J457" s="5"/>
      <c r="K457" s="5"/>
      <c r="L457" s="5" t="str">
        <f t="shared" si="7"/>
        <v/>
      </c>
    </row>
    <row r="458" spans="1:12">
      <c r="A458" s="4"/>
      <c r="D458" t="str">
        <f>IF($C458="","",IFERROR(INDEX(Orders!$B:$B,MATCH($C458,Orders!$A:$A,0)),""))</f>
        <v/>
      </c>
      <c r="E458" t="str">
        <f>IF($C458="","",IFERROR(INDEX(Orders!$D:$D,MATCH($C458,Orders!$A:$A,0)),""))</f>
        <v/>
      </c>
      <c r="H458" s="5"/>
      <c r="I458" s="5"/>
      <c r="J458" s="5"/>
      <c r="K458" s="5"/>
      <c r="L458" s="5" t="str">
        <f t="shared" si="7"/>
        <v/>
      </c>
    </row>
    <row r="459" spans="1:12">
      <c r="A459" s="4"/>
      <c r="D459" t="str">
        <f>IF($C459="","",IFERROR(INDEX(Orders!$B:$B,MATCH($C459,Orders!$A:$A,0)),""))</f>
        <v/>
      </c>
      <c r="E459" t="str">
        <f>IF($C459="","",IFERROR(INDEX(Orders!$D:$D,MATCH($C459,Orders!$A:$A,0)),""))</f>
        <v/>
      </c>
      <c r="H459" s="5"/>
      <c r="I459" s="5"/>
      <c r="J459" s="5"/>
      <c r="K459" s="5"/>
      <c r="L459" s="5" t="str">
        <f t="shared" si="7"/>
        <v/>
      </c>
    </row>
    <row r="460" spans="1:12">
      <c r="A460" s="4"/>
      <c r="D460" t="str">
        <f>IF($C460="","",IFERROR(INDEX(Orders!$B:$B,MATCH($C460,Orders!$A:$A,0)),""))</f>
        <v/>
      </c>
      <c r="E460" t="str">
        <f>IF($C460="","",IFERROR(INDEX(Orders!$D:$D,MATCH($C460,Orders!$A:$A,0)),""))</f>
        <v/>
      </c>
      <c r="H460" s="5"/>
      <c r="I460" s="5"/>
      <c r="J460" s="5"/>
      <c r="K460" s="5"/>
      <c r="L460" s="5" t="str">
        <f t="shared" si="7"/>
        <v/>
      </c>
    </row>
    <row r="461" spans="1:12">
      <c r="A461" s="4"/>
      <c r="D461" t="str">
        <f>IF($C461="","",IFERROR(INDEX(Orders!$B:$B,MATCH($C461,Orders!$A:$A,0)),""))</f>
        <v/>
      </c>
      <c r="E461" t="str">
        <f>IF($C461="","",IFERROR(INDEX(Orders!$D:$D,MATCH($C461,Orders!$A:$A,0)),""))</f>
        <v/>
      </c>
      <c r="H461" s="5"/>
      <c r="I461" s="5"/>
      <c r="J461" s="5"/>
      <c r="K461" s="5"/>
      <c r="L461" s="5" t="str">
        <f t="shared" si="7"/>
        <v/>
      </c>
    </row>
    <row r="462" spans="1:12">
      <c r="A462" s="4"/>
      <c r="D462" t="str">
        <f>IF($C462="","",IFERROR(INDEX(Orders!$B:$B,MATCH($C462,Orders!$A:$A,0)),""))</f>
        <v/>
      </c>
      <c r="E462" t="str">
        <f>IF($C462="","",IFERROR(INDEX(Orders!$D:$D,MATCH($C462,Orders!$A:$A,0)),""))</f>
        <v/>
      </c>
      <c r="H462" s="5"/>
      <c r="I462" s="5"/>
      <c r="J462" s="5"/>
      <c r="K462" s="5"/>
      <c r="L462" s="5" t="str">
        <f t="shared" si="7"/>
        <v/>
      </c>
    </row>
    <row r="463" spans="1:12">
      <c r="A463" s="4"/>
      <c r="D463" t="str">
        <f>IF($C463="","",IFERROR(INDEX(Orders!$B:$B,MATCH($C463,Orders!$A:$A,0)),""))</f>
        <v/>
      </c>
      <c r="E463" t="str">
        <f>IF($C463="","",IFERROR(INDEX(Orders!$D:$D,MATCH($C463,Orders!$A:$A,0)),""))</f>
        <v/>
      </c>
      <c r="H463" s="5"/>
      <c r="I463" s="5"/>
      <c r="J463" s="5"/>
      <c r="K463" s="5"/>
      <c r="L463" s="5" t="str">
        <f t="shared" si="7"/>
        <v/>
      </c>
    </row>
    <row r="464" spans="1:12">
      <c r="A464" s="4"/>
      <c r="D464" t="str">
        <f>IF($C464="","",IFERROR(INDEX(Orders!$B:$B,MATCH($C464,Orders!$A:$A,0)),""))</f>
        <v/>
      </c>
      <c r="E464" t="str">
        <f>IF($C464="","",IFERROR(INDEX(Orders!$D:$D,MATCH($C464,Orders!$A:$A,0)),""))</f>
        <v/>
      </c>
      <c r="H464" s="5"/>
      <c r="I464" s="5"/>
      <c r="J464" s="5"/>
      <c r="K464" s="5"/>
      <c r="L464" s="5" t="str">
        <f t="shared" si="7"/>
        <v/>
      </c>
    </row>
    <row r="465" spans="1:12">
      <c r="A465" s="4"/>
      <c r="D465" t="str">
        <f>IF($C465="","",IFERROR(INDEX(Orders!$B:$B,MATCH($C465,Orders!$A:$A,0)),""))</f>
        <v/>
      </c>
      <c r="E465" t="str">
        <f>IF($C465="","",IFERROR(INDEX(Orders!$D:$D,MATCH($C465,Orders!$A:$A,0)),""))</f>
        <v/>
      </c>
      <c r="H465" s="5"/>
      <c r="I465" s="5"/>
      <c r="J465" s="5"/>
      <c r="K465" s="5"/>
      <c r="L465" s="5" t="str">
        <f t="shared" si="7"/>
        <v/>
      </c>
    </row>
    <row r="466" spans="1:12">
      <c r="A466" s="4"/>
      <c r="D466" t="str">
        <f>IF($C466="","",IFERROR(INDEX(Orders!$B:$B,MATCH($C466,Orders!$A:$A,0)),""))</f>
        <v/>
      </c>
      <c r="E466" t="str">
        <f>IF($C466="","",IFERROR(INDEX(Orders!$D:$D,MATCH($C466,Orders!$A:$A,0)),""))</f>
        <v/>
      </c>
      <c r="H466" s="5"/>
      <c r="I466" s="5"/>
      <c r="J466" s="5"/>
      <c r="K466" s="5"/>
      <c r="L466" s="5" t="str">
        <f t="shared" si="7"/>
        <v/>
      </c>
    </row>
    <row r="467" spans="1:12">
      <c r="A467" s="4"/>
      <c r="D467" t="str">
        <f>IF($C467="","",IFERROR(INDEX(Orders!$B:$B,MATCH($C467,Orders!$A:$A,0)),""))</f>
        <v/>
      </c>
      <c r="E467" t="str">
        <f>IF($C467="","",IFERROR(INDEX(Orders!$D:$D,MATCH($C467,Orders!$A:$A,0)),""))</f>
        <v/>
      </c>
      <c r="H467" s="5"/>
      <c r="I467" s="5"/>
      <c r="J467" s="5"/>
      <c r="K467" s="5"/>
      <c r="L467" s="5" t="str">
        <f t="shared" si="7"/>
        <v/>
      </c>
    </row>
    <row r="468" spans="1:12">
      <c r="A468" s="4"/>
      <c r="D468" t="str">
        <f>IF($C468="","",IFERROR(INDEX(Orders!$B:$B,MATCH($C468,Orders!$A:$A,0)),""))</f>
        <v/>
      </c>
      <c r="E468" t="str">
        <f>IF($C468="","",IFERROR(INDEX(Orders!$D:$D,MATCH($C468,Orders!$A:$A,0)),""))</f>
        <v/>
      </c>
      <c r="H468" s="5"/>
      <c r="I468" s="5"/>
      <c r="J468" s="5"/>
      <c r="K468" s="5"/>
      <c r="L468" s="5" t="str">
        <f t="shared" si="7"/>
        <v/>
      </c>
    </row>
    <row r="469" spans="1:12">
      <c r="A469" s="4"/>
      <c r="D469" t="str">
        <f>IF($C469="","",IFERROR(INDEX(Orders!$B:$B,MATCH($C469,Orders!$A:$A,0)),""))</f>
        <v/>
      </c>
      <c r="E469" t="str">
        <f>IF($C469="","",IFERROR(INDEX(Orders!$D:$D,MATCH($C469,Orders!$A:$A,0)),""))</f>
        <v/>
      </c>
      <c r="H469" s="5"/>
      <c r="I469" s="5"/>
      <c r="J469" s="5"/>
      <c r="K469" s="5"/>
      <c r="L469" s="5" t="str">
        <f t="shared" si="7"/>
        <v/>
      </c>
    </row>
    <row r="470" spans="1:12">
      <c r="A470" s="4"/>
      <c r="D470" t="str">
        <f>IF($C470="","",IFERROR(INDEX(Orders!$B:$B,MATCH($C470,Orders!$A:$A,0)),""))</f>
        <v/>
      </c>
      <c r="E470" t="str">
        <f>IF($C470="","",IFERROR(INDEX(Orders!$D:$D,MATCH($C470,Orders!$A:$A,0)),""))</f>
        <v/>
      </c>
      <c r="H470" s="5"/>
      <c r="I470" s="5"/>
      <c r="J470" s="5"/>
      <c r="K470" s="5"/>
      <c r="L470" s="5" t="str">
        <f t="shared" si="7"/>
        <v/>
      </c>
    </row>
    <row r="471" spans="1:12">
      <c r="A471" s="4"/>
      <c r="D471" t="str">
        <f>IF($C471="","",IFERROR(INDEX(Orders!$B:$B,MATCH($C471,Orders!$A:$A,0)),""))</f>
        <v/>
      </c>
      <c r="E471" t="str">
        <f>IF($C471="","",IFERROR(INDEX(Orders!$D:$D,MATCH($C471,Orders!$A:$A,0)),""))</f>
        <v/>
      </c>
      <c r="H471" s="5"/>
      <c r="I471" s="5"/>
      <c r="J471" s="5"/>
      <c r="K471" s="5"/>
      <c r="L471" s="5" t="str">
        <f t="shared" si="7"/>
        <v/>
      </c>
    </row>
    <row r="472" spans="1:12">
      <c r="A472" s="4"/>
      <c r="D472" t="str">
        <f>IF($C472="","",IFERROR(INDEX(Orders!$B:$B,MATCH($C472,Orders!$A:$A,0)),""))</f>
        <v/>
      </c>
      <c r="E472" t="str">
        <f>IF($C472="","",IFERROR(INDEX(Orders!$D:$D,MATCH($C472,Orders!$A:$A,0)),""))</f>
        <v/>
      </c>
      <c r="H472" s="5"/>
      <c r="I472" s="5"/>
      <c r="J472" s="5"/>
      <c r="K472" s="5"/>
      <c r="L472" s="5" t="str">
        <f t="shared" si="7"/>
        <v/>
      </c>
    </row>
    <row r="473" spans="1:12">
      <c r="A473" s="4"/>
      <c r="D473" t="str">
        <f>IF($C473="","",IFERROR(INDEX(Orders!$B:$B,MATCH($C473,Orders!$A:$A,0)),""))</f>
        <v/>
      </c>
      <c r="E473" t="str">
        <f>IF($C473="","",IFERROR(INDEX(Orders!$D:$D,MATCH($C473,Orders!$A:$A,0)),""))</f>
        <v/>
      </c>
      <c r="H473" s="5"/>
      <c r="I473" s="5"/>
      <c r="J473" s="5"/>
      <c r="K473" s="5"/>
      <c r="L473" s="5" t="str">
        <f t="shared" si="7"/>
        <v/>
      </c>
    </row>
    <row r="474" spans="1:12">
      <c r="A474" s="4"/>
      <c r="D474" t="str">
        <f>IF($C474="","",IFERROR(INDEX(Orders!$B:$B,MATCH($C474,Orders!$A:$A,0)),""))</f>
        <v/>
      </c>
      <c r="E474" t="str">
        <f>IF($C474="","",IFERROR(INDEX(Orders!$D:$D,MATCH($C474,Orders!$A:$A,0)),""))</f>
        <v/>
      </c>
      <c r="H474" s="5"/>
      <c r="I474" s="5"/>
      <c r="J474" s="5"/>
      <c r="K474" s="5"/>
      <c r="L474" s="5" t="str">
        <f t="shared" si="7"/>
        <v/>
      </c>
    </row>
    <row r="475" spans="1:12">
      <c r="A475" s="4"/>
      <c r="D475" t="str">
        <f>IF($C475="","",IFERROR(INDEX(Orders!$B:$B,MATCH($C475,Orders!$A:$A,0)),""))</f>
        <v/>
      </c>
      <c r="E475" t="str">
        <f>IF($C475="","",IFERROR(INDEX(Orders!$D:$D,MATCH($C475,Orders!$A:$A,0)),""))</f>
        <v/>
      </c>
      <c r="H475" s="5"/>
      <c r="I475" s="5"/>
      <c r="J475" s="5"/>
      <c r="K475" s="5"/>
      <c r="L475" s="5" t="str">
        <f t="shared" si="7"/>
        <v/>
      </c>
    </row>
    <row r="476" spans="1:12">
      <c r="A476" s="4"/>
      <c r="D476" t="str">
        <f>IF($C476="","",IFERROR(INDEX(Orders!$B:$B,MATCH($C476,Orders!$A:$A,0)),""))</f>
        <v/>
      </c>
      <c r="E476" t="str">
        <f>IF($C476="","",IFERROR(INDEX(Orders!$D:$D,MATCH($C476,Orders!$A:$A,0)),""))</f>
        <v/>
      </c>
      <c r="H476" s="5"/>
      <c r="I476" s="5"/>
      <c r="J476" s="5"/>
      <c r="K476" s="5"/>
      <c r="L476" s="5" t="str">
        <f t="shared" si="7"/>
        <v/>
      </c>
    </row>
    <row r="477" spans="1:12">
      <c r="A477" s="4"/>
      <c r="D477" t="str">
        <f>IF($C477="","",IFERROR(INDEX(Orders!$B:$B,MATCH($C477,Orders!$A:$A,0)),""))</f>
        <v/>
      </c>
      <c r="E477" t="str">
        <f>IF($C477="","",IFERROR(INDEX(Orders!$D:$D,MATCH($C477,Orders!$A:$A,0)),""))</f>
        <v/>
      </c>
      <c r="H477" s="5"/>
      <c r="I477" s="5"/>
      <c r="J477" s="5"/>
      <c r="K477" s="5"/>
      <c r="L477" s="5" t="str">
        <f t="shared" si="7"/>
        <v/>
      </c>
    </row>
    <row r="478" spans="1:12">
      <c r="A478" s="4"/>
      <c r="D478" t="str">
        <f>IF($C478="","",IFERROR(INDEX(Orders!$B:$B,MATCH($C478,Orders!$A:$A,0)),""))</f>
        <v/>
      </c>
      <c r="E478" t="str">
        <f>IF($C478="","",IFERROR(INDEX(Orders!$D:$D,MATCH($C478,Orders!$A:$A,0)),""))</f>
        <v/>
      </c>
      <c r="H478" s="5"/>
      <c r="I478" s="5"/>
      <c r="J478" s="5"/>
      <c r="K478" s="5"/>
      <c r="L478" s="5" t="str">
        <f t="shared" si="7"/>
        <v/>
      </c>
    </row>
    <row r="479" spans="1:12">
      <c r="A479" s="4"/>
      <c r="D479" t="str">
        <f>IF($C479="","",IFERROR(INDEX(Orders!$B:$B,MATCH($C479,Orders!$A:$A,0)),""))</f>
        <v/>
      </c>
      <c r="E479" t="str">
        <f>IF($C479="","",IFERROR(INDEX(Orders!$D:$D,MATCH($C479,Orders!$A:$A,0)),""))</f>
        <v/>
      </c>
      <c r="H479" s="5"/>
      <c r="I479" s="5"/>
      <c r="J479" s="5"/>
      <c r="K479" s="5"/>
      <c r="L479" s="5" t="str">
        <f t="shared" si="7"/>
        <v/>
      </c>
    </row>
    <row r="480" spans="1:12">
      <c r="A480" s="4"/>
      <c r="D480" t="str">
        <f>IF($C480="","",IFERROR(INDEX(Orders!$B:$B,MATCH($C480,Orders!$A:$A,0)),""))</f>
        <v/>
      </c>
      <c r="E480" t="str">
        <f>IF($C480="","",IFERROR(INDEX(Orders!$D:$D,MATCH($C480,Orders!$A:$A,0)),""))</f>
        <v/>
      </c>
      <c r="H480" s="5"/>
      <c r="I480" s="5"/>
      <c r="J480" s="5"/>
      <c r="K480" s="5"/>
      <c r="L480" s="5" t="str">
        <f t="shared" si="7"/>
        <v/>
      </c>
    </row>
    <row r="481" spans="1:12">
      <c r="A481" s="4"/>
      <c r="D481" t="str">
        <f>IF($C481="","",IFERROR(INDEX(Orders!$B:$B,MATCH($C481,Orders!$A:$A,0)),""))</f>
        <v/>
      </c>
      <c r="E481" t="str">
        <f>IF($C481="","",IFERROR(INDEX(Orders!$D:$D,MATCH($C481,Orders!$A:$A,0)),""))</f>
        <v/>
      </c>
      <c r="H481" s="5"/>
      <c r="I481" s="5"/>
      <c r="J481" s="5"/>
      <c r="K481" s="5"/>
      <c r="L481" s="5" t="str">
        <f t="shared" si="7"/>
        <v/>
      </c>
    </row>
    <row r="482" spans="1:12">
      <c r="A482" s="4"/>
      <c r="D482" t="str">
        <f>IF($C482="","",IFERROR(INDEX(Orders!$B:$B,MATCH($C482,Orders!$A:$A,0)),""))</f>
        <v/>
      </c>
      <c r="E482" t="str">
        <f>IF($C482="","",IFERROR(INDEX(Orders!$D:$D,MATCH($C482,Orders!$A:$A,0)),""))</f>
        <v/>
      </c>
      <c r="H482" s="5"/>
      <c r="I482" s="5"/>
      <c r="J482" s="5"/>
      <c r="K482" s="5"/>
      <c r="L482" s="5" t="str">
        <f t="shared" si="7"/>
        <v/>
      </c>
    </row>
    <row r="483" spans="1:12">
      <c r="A483" s="4"/>
      <c r="D483" t="str">
        <f>IF($C483="","",IFERROR(INDEX(Orders!$B:$B,MATCH($C483,Orders!$A:$A,0)),""))</f>
        <v/>
      </c>
      <c r="E483" t="str">
        <f>IF($C483="","",IFERROR(INDEX(Orders!$D:$D,MATCH($C483,Orders!$A:$A,0)),""))</f>
        <v/>
      </c>
      <c r="H483" s="5"/>
      <c r="I483" s="5"/>
      <c r="J483" s="5"/>
      <c r="K483" s="5"/>
      <c r="L483" s="5" t="str">
        <f t="shared" si="7"/>
        <v/>
      </c>
    </row>
    <row r="484" spans="1:12">
      <c r="A484" s="4"/>
      <c r="D484" t="str">
        <f>IF($C484="","",IFERROR(INDEX(Orders!$B:$B,MATCH($C484,Orders!$A:$A,0)),""))</f>
        <v/>
      </c>
      <c r="E484" t="str">
        <f>IF($C484="","",IFERROR(INDEX(Orders!$D:$D,MATCH($C484,Orders!$A:$A,0)),""))</f>
        <v/>
      </c>
      <c r="H484" s="5"/>
      <c r="I484" s="5"/>
      <c r="J484" s="5"/>
      <c r="K484" s="5"/>
      <c r="L484" s="5" t="str">
        <f t="shared" si="7"/>
        <v/>
      </c>
    </row>
    <row r="485" spans="1:12">
      <c r="A485" s="4"/>
      <c r="D485" t="str">
        <f>IF($C485="","",IFERROR(INDEX(Orders!$B:$B,MATCH($C485,Orders!$A:$A,0)),""))</f>
        <v/>
      </c>
      <c r="E485" t="str">
        <f>IF($C485="","",IFERROR(INDEX(Orders!$D:$D,MATCH($C485,Orders!$A:$A,0)),""))</f>
        <v/>
      </c>
      <c r="H485" s="5"/>
      <c r="I485" s="5"/>
      <c r="J485" s="5"/>
      <c r="K485" s="5"/>
      <c r="L485" s="5" t="str">
        <f t="shared" si="7"/>
        <v/>
      </c>
    </row>
    <row r="486" spans="1:12">
      <c r="A486" s="4"/>
      <c r="D486" t="str">
        <f>IF($C486="","",IFERROR(INDEX(Orders!$B:$B,MATCH($C486,Orders!$A:$A,0)),""))</f>
        <v/>
      </c>
      <c r="E486" t="str">
        <f>IF($C486="","",IFERROR(INDEX(Orders!$D:$D,MATCH($C486,Orders!$A:$A,0)),""))</f>
        <v/>
      </c>
      <c r="H486" s="5"/>
      <c r="I486" s="5"/>
      <c r="J486" s="5"/>
      <c r="K486" s="5"/>
      <c r="L486" s="5" t="str">
        <f t="shared" si="7"/>
        <v/>
      </c>
    </row>
    <row r="487" spans="1:12">
      <c r="A487" s="4"/>
      <c r="D487" t="str">
        <f>IF($C487="","",IFERROR(INDEX(Orders!$B:$B,MATCH($C487,Orders!$A:$A,0)),""))</f>
        <v/>
      </c>
      <c r="E487" t="str">
        <f>IF($C487="","",IFERROR(INDEX(Orders!$D:$D,MATCH($C487,Orders!$A:$A,0)),""))</f>
        <v/>
      </c>
      <c r="H487" s="5"/>
      <c r="I487" s="5"/>
      <c r="J487" s="5"/>
      <c r="K487" s="5"/>
      <c r="L487" s="5" t="str">
        <f t="shared" si="7"/>
        <v/>
      </c>
    </row>
    <row r="488" spans="1:12">
      <c r="A488" s="4"/>
      <c r="D488" t="str">
        <f>IF($C488="","",IFERROR(INDEX(Orders!$B:$B,MATCH($C488,Orders!$A:$A,0)),""))</f>
        <v/>
      </c>
      <c r="E488" t="str">
        <f>IF($C488="","",IFERROR(INDEX(Orders!$D:$D,MATCH($C488,Orders!$A:$A,0)),""))</f>
        <v/>
      </c>
      <c r="H488" s="5"/>
      <c r="I488" s="5"/>
      <c r="J488" s="5"/>
      <c r="K488" s="5"/>
      <c r="L488" s="5" t="str">
        <f t="shared" si="7"/>
        <v/>
      </c>
    </row>
    <row r="489" spans="1:12">
      <c r="A489" s="4"/>
      <c r="D489" t="str">
        <f>IF($C489="","",IFERROR(INDEX(Orders!$B:$B,MATCH($C489,Orders!$A:$A,0)),""))</f>
        <v/>
      </c>
      <c r="E489" t="str">
        <f>IF($C489="","",IFERROR(INDEX(Orders!$D:$D,MATCH($C489,Orders!$A:$A,0)),""))</f>
        <v/>
      </c>
      <c r="H489" s="5"/>
      <c r="I489" s="5"/>
      <c r="J489" s="5"/>
      <c r="K489" s="5"/>
      <c r="L489" s="5" t="str">
        <f t="shared" si="7"/>
        <v/>
      </c>
    </row>
    <row r="490" spans="1:12">
      <c r="A490" s="4"/>
      <c r="D490" t="str">
        <f>IF($C490="","",IFERROR(INDEX(Orders!$B:$B,MATCH($C490,Orders!$A:$A,0)),""))</f>
        <v/>
      </c>
      <c r="E490" t="str">
        <f>IF($C490="","",IFERROR(INDEX(Orders!$D:$D,MATCH($C490,Orders!$A:$A,0)),""))</f>
        <v/>
      </c>
      <c r="H490" s="5"/>
      <c r="I490" s="5"/>
      <c r="J490" s="5"/>
      <c r="K490" s="5"/>
      <c r="L490" s="5" t="str">
        <f t="shared" si="7"/>
        <v/>
      </c>
    </row>
    <row r="491" spans="1:12">
      <c r="A491" s="4"/>
      <c r="D491" t="str">
        <f>IF($C491="","",IFERROR(INDEX(Orders!$B:$B,MATCH($C491,Orders!$A:$A,0)),""))</f>
        <v/>
      </c>
      <c r="E491" t="str">
        <f>IF($C491="","",IFERROR(INDEX(Orders!$D:$D,MATCH($C491,Orders!$A:$A,0)),""))</f>
        <v/>
      </c>
      <c r="H491" s="5"/>
      <c r="I491" s="5"/>
      <c r="J491" s="5"/>
      <c r="K491" s="5"/>
      <c r="L491" s="5" t="str">
        <f t="shared" si="7"/>
        <v/>
      </c>
    </row>
    <row r="492" spans="1:12">
      <c r="A492" s="4"/>
      <c r="D492" t="str">
        <f>IF($C492="","",IFERROR(INDEX(Orders!$B:$B,MATCH($C492,Orders!$A:$A,0)),""))</f>
        <v/>
      </c>
      <c r="E492" t="str">
        <f>IF($C492="","",IFERROR(INDEX(Orders!$D:$D,MATCH($C492,Orders!$A:$A,0)),""))</f>
        <v/>
      </c>
      <c r="H492" s="5"/>
      <c r="I492" s="5"/>
      <c r="J492" s="5"/>
      <c r="K492" s="5"/>
      <c r="L492" s="5" t="str">
        <f t="shared" si="7"/>
        <v/>
      </c>
    </row>
    <row r="493" spans="1:12">
      <c r="A493" s="4"/>
      <c r="D493" t="str">
        <f>IF($C493="","",IFERROR(INDEX(Orders!$B:$B,MATCH($C493,Orders!$A:$A,0)),""))</f>
        <v/>
      </c>
      <c r="E493" t="str">
        <f>IF($C493="","",IFERROR(INDEX(Orders!$D:$D,MATCH($C493,Orders!$A:$A,0)),""))</f>
        <v/>
      </c>
      <c r="H493" s="5"/>
      <c r="I493" s="5"/>
      <c r="J493" s="5"/>
      <c r="K493" s="5"/>
      <c r="L493" s="5" t="str">
        <f t="shared" si="7"/>
        <v/>
      </c>
    </row>
    <row r="494" spans="1:12">
      <c r="A494" s="4"/>
      <c r="D494" t="str">
        <f>IF($C494="","",IFERROR(INDEX(Orders!$B:$B,MATCH($C494,Orders!$A:$A,0)),""))</f>
        <v/>
      </c>
      <c r="E494" t="str">
        <f>IF($C494="","",IFERROR(INDEX(Orders!$D:$D,MATCH($C494,Orders!$A:$A,0)),""))</f>
        <v/>
      </c>
      <c r="H494" s="5"/>
      <c r="I494" s="5"/>
      <c r="J494" s="5"/>
      <c r="K494" s="5"/>
      <c r="L494" s="5" t="str">
        <f t="shared" si="7"/>
        <v/>
      </c>
    </row>
    <row r="495" spans="1:12">
      <c r="A495" s="4"/>
      <c r="D495" t="str">
        <f>IF($C495="","",IFERROR(INDEX(Orders!$B:$B,MATCH($C495,Orders!$A:$A,0)),""))</f>
        <v/>
      </c>
      <c r="E495" t="str">
        <f>IF($C495="","",IFERROR(INDEX(Orders!$D:$D,MATCH($C495,Orders!$A:$A,0)),""))</f>
        <v/>
      </c>
      <c r="H495" s="5"/>
      <c r="I495" s="5"/>
      <c r="J495" s="5"/>
      <c r="K495" s="5"/>
      <c r="L495" s="5" t="str">
        <f t="shared" si="7"/>
        <v/>
      </c>
    </row>
    <row r="496" spans="1:12">
      <c r="A496" s="4"/>
      <c r="D496" t="str">
        <f>IF($C496="","",IFERROR(INDEX(Orders!$B:$B,MATCH($C496,Orders!$A:$A,0)),""))</f>
        <v/>
      </c>
      <c r="E496" t="str">
        <f>IF($C496="","",IFERROR(INDEX(Orders!$D:$D,MATCH($C496,Orders!$A:$A,0)),""))</f>
        <v/>
      </c>
      <c r="H496" s="5"/>
      <c r="I496" s="5"/>
      <c r="J496" s="5"/>
      <c r="K496" s="5"/>
      <c r="L496" s="5" t="str">
        <f t="shared" si="7"/>
        <v/>
      </c>
    </row>
    <row r="497" spans="1:12">
      <c r="A497" s="4"/>
      <c r="D497" t="str">
        <f>IF($C497="","",IFERROR(INDEX(Orders!$B:$B,MATCH($C497,Orders!$A:$A,0)),""))</f>
        <v/>
      </c>
      <c r="E497" t="str">
        <f>IF($C497="","",IFERROR(INDEX(Orders!$D:$D,MATCH($C497,Orders!$A:$A,0)),""))</f>
        <v/>
      </c>
      <c r="H497" s="5"/>
      <c r="I497" s="5"/>
      <c r="J497" s="5"/>
      <c r="K497" s="5"/>
      <c r="L497" s="5" t="str">
        <f t="shared" si="7"/>
        <v/>
      </c>
    </row>
    <row r="498" spans="1:12">
      <c r="A498" s="4"/>
      <c r="D498" t="str">
        <f>IF($C498="","",IFERROR(INDEX(Orders!$B:$B,MATCH($C498,Orders!$A:$A,0)),""))</f>
        <v/>
      </c>
      <c r="E498" t="str">
        <f>IF($C498="","",IFERROR(INDEX(Orders!$D:$D,MATCH($C498,Orders!$A:$A,0)),""))</f>
        <v/>
      </c>
      <c r="H498" s="5"/>
      <c r="I498" s="5"/>
      <c r="J498" s="5"/>
      <c r="K498" s="5"/>
      <c r="L498" s="5" t="str">
        <f t="shared" si="7"/>
        <v/>
      </c>
    </row>
    <row r="499" spans="1:12">
      <c r="A499" s="4"/>
      <c r="D499" t="str">
        <f>IF($C499="","",IFERROR(INDEX(Orders!$B:$B,MATCH($C499,Orders!$A:$A,0)),""))</f>
        <v/>
      </c>
      <c r="E499" t="str">
        <f>IF($C499="","",IFERROR(INDEX(Orders!$D:$D,MATCH($C499,Orders!$A:$A,0)),""))</f>
        <v/>
      </c>
      <c r="H499" s="5"/>
      <c r="I499" s="5"/>
      <c r="J499" s="5"/>
      <c r="K499" s="5"/>
      <c r="L499" s="5" t="str">
        <f t="shared" si="7"/>
        <v/>
      </c>
    </row>
    <row r="500" spans="1:12">
      <c r="A500" s="4"/>
      <c r="D500" t="str">
        <f>IF($C500="","",IFERROR(INDEX(Orders!$B:$B,MATCH($C500,Orders!$A:$A,0)),""))</f>
        <v/>
      </c>
      <c r="E500" t="str">
        <f>IF($C500="","",IFERROR(INDEX(Orders!$D:$D,MATCH($C500,Orders!$A:$A,0)),""))</f>
        <v/>
      </c>
      <c r="H500" s="5"/>
      <c r="I500" s="5"/>
      <c r="J500" s="5"/>
      <c r="K500" s="5"/>
      <c r="L500" s="5" t="str">
        <f t="shared" si="7"/>
        <v/>
      </c>
    </row>
    <row r="501" spans="1:12">
      <c r="A501" s="4"/>
      <c r="D501" t="str">
        <f>IF($C501="","",IFERROR(INDEX(Orders!$B:$B,MATCH($C501,Orders!$A:$A,0)),""))</f>
        <v/>
      </c>
      <c r="E501" t="str">
        <f>IF($C501="","",IFERROR(INDEX(Orders!$D:$D,MATCH($C501,Orders!$A:$A,0)),""))</f>
        <v/>
      </c>
      <c r="H501" s="5"/>
      <c r="I501" s="5"/>
      <c r="J501" s="5"/>
      <c r="K501" s="5"/>
      <c r="L501" s="5" t="str">
        <f t="shared" si="7"/>
        <v/>
      </c>
    </row>
    <row r="502" spans="1:12">
      <c r="A502" s="4"/>
      <c r="D502" t="str">
        <f>IF($C502="","",IFERROR(INDEX(Orders!$B:$B,MATCH($C502,Orders!$A:$A,0)),""))</f>
        <v/>
      </c>
      <c r="E502" t="str">
        <f>IF($C502="","",IFERROR(INDEX(Orders!$D:$D,MATCH($C502,Orders!$A:$A,0)),""))</f>
        <v/>
      </c>
      <c r="H502" s="5"/>
      <c r="I502" s="5"/>
      <c r="J502" s="5"/>
      <c r="K502" s="5"/>
      <c r="L502" s="5" t="str">
        <f t="shared" si="7"/>
        <v/>
      </c>
    </row>
    <row r="503" spans="1:12">
      <c r="A503" s="4"/>
      <c r="D503" t="str">
        <f>IF($C503="","",IFERROR(INDEX(Orders!$B:$B,MATCH($C503,Orders!$A:$A,0)),""))</f>
        <v/>
      </c>
      <c r="E503" t="str">
        <f>IF($C503="","",IFERROR(INDEX(Orders!$D:$D,MATCH($C503,Orders!$A:$A,0)),""))</f>
        <v/>
      </c>
      <c r="H503" s="5"/>
      <c r="I503" s="5"/>
      <c r="J503" s="5"/>
      <c r="K503" s="5"/>
      <c r="L503" s="5" t="str">
        <f t="shared" si="7"/>
        <v/>
      </c>
    </row>
    <row r="504" spans="1:12">
      <c r="A504" s="4"/>
      <c r="D504" t="str">
        <f>IF($C504="","",IFERROR(INDEX(Orders!$B:$B,MATCH($C504,Orders!$A:$A,0)),""))</f>
        <v/>
      </c>
      <c r="E504" t="str">
        <f>IF($C504="","",IFERROR(INDEX(Orders!$D:$D,MATCH($C504,Orders!$A:$A,0)),""))</f>
        <v/>
      </c>
      <c r="H504" s="5"/>
      <c r="I504" s="5"/>
      <c r="J504" s="5"/>
      <c r="K504" s="5"/>
      <c r="L504" s="5" t="str">
        <f t="shared" si="7"/>
        <v/>
      </c>
    </row>
    <row r="505" spans="1:12">
      <c r="A505" s="4"/>
      <c r="D505" t="str">
        <f>IF($C505="","",IFERROR(INDEX(Orders!$B:$B,MATCH($C505,Orders!$A:$A,0)),""))</f>
        <v/>
      </c>
      <c r="E505" t="str">
        <f>IF($C505="","",IFERROR(INDEX(Orders!$D:$D,MATCH($C505,Orders!$A:$A,0)),""))</f>
        <v/>
      </c>
      <c r="H505" s="5"/>
      <c r="I505" s="5"/>
      <c r="J505" s="5"/>
      <c r="K505" s="5"/>
      <c r="L505" s="5" t="str">
        <f t="shared" si="7"/>
        <v/>
      </c>
    </row>
    <row r="506" spans="1:12">
      <c r="A506" s="4"/>
      <c r="D506" t="str">
        <f>IF($C506="","",IFERROR(INDEX(Orders!$B:$B,MATCH($C506,Orders!$A:$A,0)),""))</f>
        <v/>
      </c>
      <c r="E506" t="str">
        <f>IF($C506="","",IFERROR(INDEX(Orders!$D:$D,MATCH($C506,Orders!$A:$A,0)),""))</f>
        <v/>
      </c>
      <c r="H506" s="5"/>
      <c r="I506" s="5"/>
      <c r="J506" s="5"/>
      <c r="K506" s="5"/>
      <c r="L506" s="5" t="str">
        <f t="shared" si="7"/>
        <v/>
      </c>
    </row>
    <row r="507" spans="1:12">
      <c r="A507" s="4"/>
      <c r="D507" t="str">
        <f>IF($C507="","",IFERROR(INDEX(Orders!$B:$B,MATCH($C507,Orders!$A:$A,0)),""))</f>
        <v/>
      </c>
      <c r="E507" t="str">
        <f>IF($C507="","",IFERROR(INDEX(Orders!$D:$D,MATCH($C507,Orders!$A:$A,0)),""))</f>
        <v/>
      </c>
      <c r="H507" s="5"/>
      <c r="I507" s="5"/>
      <c r="J507" s="5"/>
      <c r="K507" s="5"/>
      <c r="L507" s="5" t="str">
        <f t="shared" si="7"/>
        <v/>
      </c>
    </row>
    <row r="508" spans="1:12">
      <c r="A508" s="4"/>
      <c r="D508" t="str">
        <f>IF($C508="","",IFERROR(INDEX(Orders!$B:$B,MATCH($C508,Orders!$A:$A,0)),""))</f>
        <v/>
      </c>
      <c r="E508" t="str">
        <f>IF($C508="","",IFERROR(INDEX(Orders!$D:$D,MATCH($C508,Orders!$A:$A,0)),""))</f>
        <v/>
      </c>
      <c r="H508" s="5"/>
      <c r="I508" s="5"/>
      <c r="J508" s="5"/>
      <c r="K508" s="5"/>
      <c r="L508" s="5" t="str">
        <f t="shared" si="7"/>
        <v/>
      </c>
    </row>
    <row r="509" spans="1:12">
      <c r="A509" s="4"/>
      <c r="D509" t="str">
        <f>IF($C509="","",IFERROR(INDEX(Orders!$B:$B,MATCH($C509,Orders!$A:$A,0)),""))</f>
        <v/>
      </c>
      <c r="E509" t="str">
        <f>IF($C509="","",IFERROR(INDEX(Orders!$D:$D,MATCH($C509,Orders!$A:$A,0)),""))</f>
        <v/>
      </c>
      <c r="H509" s="5"/>
      <c r="I509" s="5"/>
      <c r="J509" s="5"/>
      <c r="K509" s="5"/>
      <c r="L509" s="5" t="str">
        <f t="shared" si="7"/>
        <v/>
      </c>
    </row>
    <row r="510" spans="1:12">
      <c r="A510" s="4"/>
      <c r="D510" t="str">
        <f>IF($C510="","",IFERROR(INDEX(Orders!$B:$B,MATCH($C510,Orders!$A:$A,0)),""))</f>
        <v/>
      </c>
      <c r="E510" t="str">
        <f>IF($C510="","",IFERROR(INDEX(Orders!$D:$D,MATCH($C510,Orders!$A:$A,0)),""))</f>
        <v/>
      </c>
      <c r="H510" s="5"/>
      <c r="I510" s="5"/>
      <c r="J510" s="5"/>
      <c r="K510" s="5"/>
      <c r="L510" s="5" t="str">
        <f t="shared" si="7"/>
        <v/>
      </c>
    </row>
    <row r="511" spans="1:12">
      <c r="A511" s="4"/>
      <c r="D511" t="str">
        <f>IF($C511="","",IFERROR(INDEX(Orders!$B:$B,MATCH($C511,Orders!$A:$A,0)),""))</f>
        <v/>
      </c>
      <c r="E511" t="str">
        <f>IF($C511="","",IFERROR(INDEX(Orders!$D:$D,MATCH($C511,Orders!$A:$A,0)),""))</f>
        <v/>
      </c>
      <c r="H511" s="5"/>
      <c r="I511" s="5"/>
      <c r="J511" s="5"/>
      <c r="K511" s="5"/>
      <c r="L511" s="5" t="str">
        <f t="shared" si="7"/>
        <v/>
      </c>
    </row>
    <row r="512" spans="1:12">
      <c r="A512" s="4"/>
      <c r="D512" t="str">
        <f>IF($C512="","",IFERROR(INDEX(Orders!$B:$B,MATCH($C512,Orders!$A:$A,0)),""))</f>
        <v/>
      </c>
      <c r="E512" t="str">
        <f>IF($C512="","",IFERROR(INDEX(Orders!$D:$D,MATCH($C512,Orders!$A:$A,0)),""))</f>
        <v/>
      </c>
      <c r="H512" s="5"/>
      <c r="I512" s="5"/>
      <c r="J512" s="5"/>
      <c r="K512" s="5"/>
      <c r="L512" s="5" t="str">
        <f t="shared" si="7"/>
        <v/>
      </c>
    </row>
    <row r="513" spans="1:12">
      <c r="A513" s="4"/>
      <c r="D513" t="str">
        <f>IF($C513="","",IFERROR(INDEX(Orders!$B:$B,MATCH($C513,Orders!$A:$A,0)),""))</f>
        <v/>
      </c>
      <c r="E513" t="str">
        <f>IF($C513="","",IFERROR(INDEX(Orders!$D:$D,MATCH($C513,Orders!$A:$A,0)),""))</f>
        <v/>
      </c>
      <c r="H513" s="5"/>
      <c r="I513" s="5"/>
      <c r="J513" s="5"/>
      <c r="K513" s="5"/>
      <c r="L513" s="5" t="str">
        <f t="shared" si="7"/>
        <v/>
      </c>
    </row>
    <row r="514" spans="1:12">
      <c r="A514" s="4"/>
      <c r="D514" t="str">
        <f>IF($C514="","",IFERROR(INDEX(Orders!$B:$B,MATCH($C514,Orders!$A:$A,0)),""))</f>
        <v/>
      </c>
      <c r="E514" t="str">
        <f>IF($C514="","",IFERROR(INDEX(Orders!$D:$D,MATCH($C514,Orders!$A:$A,0)),""))</f>
        <v/>
      </c>
      <c r="H514" s="5"/>
      <c r="I514" s="5"/>
      <c r="J514" s="5"/>
      <c r="K514" s="5"/>
      <c r="L514" s="5" t="str">
        <f t="shared" ref="L514:L577" si="8">IF($C514="","",$H514-$I514-$K514)</f>
        <v/>
      </c>
    </row>
    <row r="515" spans="1:12">
      <c r="A515" s="4"/>
      <c r="D515" t="str">
        <f>IF($C515="","",IFERROR(INDEX(Orders!$B:$B,MATCH($C515,Orders!$A:$A,0)),""))</f>
        <v/>
      </c>
      <c r="E515" t="str">
        <f>IF($C515="","",IFERROR(INDEX(Orders!$D:$D,MATCH($C515,Orders!$A:$A,0)),""))</f>
        <v/>
      </c>
      <c r="H515" s="5"/>
      <c r="I515" s="5"/>
      <c r="J515" s="5"/>
      <c r="K515" s="5"/>
      <c r="L515" s="5" t="str">
        <f t="shared" si="8"/>
        <v/>
      </c>
    </row>
    <row r="516" spans="1:12">
      <c r="A516" s="4"/>
      <c r="D516" t="str">
        <f>IF($C516="","",IFERROR(INDEX(Orders!$B:$B,MATCH($C516,Orders!$A:$A,0)),""))</f>
        <v/>
      </c>
      <c r="E516" t="str">
        <f>IF($C516="","",IFERROR(INDEX(Orders!$D:$D,MATCH($C516,Orders!$A:$A,0)),""))</f>
        <v/>
      </c>
      <c r="H516" s="5"/>
      <c r="I516" s="5"/>
      <c r="J516" s="5"/>
      <c r="K516" s="5"/>
      <c r="L516" s="5" t="str">
        <f t="shared" si="8"/>
        <v/>
      </c>
    </row>
    <row r="517" spans="1:12">
      <c r="A517" s="4"/>
      <c r="D517" t="str">
        <f>IF($C517="","",IFERROR(INDEX(Orders!$B:$B,MATCH($C517,Orders!$A:$A,0)),""))</f>
        <v/>
      </c>
      <c r="E517" t="str">
        <f>IF($C517="","",IFERROR(INDEX(Orders!$D:$D,MATCH($C517,Orders!$A:$A,0)),""))</f>
        <v/>
      </c>
      <c r="H517" s="5"/>
      <c r="I517" s="5"/>
      <c r="J517" s="5"/>
      <c r="K517" s="5"/>
      <c r="L517" s="5" t="str">
        <f t="shared" si="8"/>
        <v/>
      </c>
    </row>
    <row r="518" spans="1:12">
      <c r="A518" s="4"/>
      <c r="D518" t="str">
        <f>IF($C518="","",IFERROR(INDEX(Orders!$B:$B,MATCH($C518,Orders!$A:$A,0)),""))</f>
        <v/>
      </c>
      <c r="E518" t="str">
        <f>IF($C518="","",IFERROR(INDEX(Orders!$D:$D,MATCH($C518,Orders!$A:$A,0)),""))</f>
        <v/>
      </c>
      <c r="H518" s="5"/>
      <c r="I518" s="5"/>
      <c r="J518" s="5"/>
      <c r="K518" s="5"/>
      <c r="L518" s="5" t="str">
        <f t="shared" si="8"/>
        <v/>
      </c>
    </row>
    <row r="519" spans="1:12">
      <c r="A519" s="4"/>
      <c r="D519" t="str">
        <f>IF($C519="","",IFERROR(INDEX(Orders!$B:$B,MATCH($C519,Orders!$A:$A,0)),""))</f>
        <v/>
      </c>
      <c r="E519" t="str">
        <f>IF($C519="","",IFERROR(INDEX(Orders!$D:$D,MATCH($C519,Orders!$A:$A,0)),""))</f>
        <v/>
      </c>
      <c r="H519" s="5"/>
      <c r="I519" s="5"/>
      <c r="J519" s="5"/>
      <c r="K519" s="5"/>
      <c r="L519" s="5" t="str">
        <f t="shared" si="8"/>
        <v/>
      </c>
    </row>
    <row r="520" spans="1:12">
      <c r="A520" s="4"/>
      <c r="D520" t="str">
        <f>IF($C520="","",IFERROR(INDEX(Orders!$B:$B,MATCH($C520,Orders!$A:$A,0)),""))</f>
        <v/>
      </c>
      <c r="E520" t="str">
        <f>IF($C520="","",IFERROR(INDEX(Orders!$D:$D,MATCH($C520,Orders!$A:$A,0)),""))</f>
        <v/>
      </c>
      <c r="H520" s="5"/>
      <c r="I520" s="5"/>
      <c r="J520" s="5"/>
      <c r="K520" s="5"/>
      <c r="L520" s="5" t="str">
        <f t="shared" si="8"/>
        <v/>
      </c>
    </row>
    <row r="521" spans="1:12">
      <c r="A521" s="4"/>
      <c r="D521" t="str">
        <f>IF($C521="","",IFERROR(INDEX(Orders!$B:$B,MATCH($C521,Orders!$A:$A,0)),""))</f>
        <v/>
      </c>
      <c r="E521" t="str">
        <f>IF($C521="","",IFERROR(INDEX(Orders!$D:$D,MATCH($C521,Orders!$A:$A,0)),""))</f>
        <v/>
      </c>
      <c r="H521" s="5"/>
      <c r="I521" s="5"/>
      <c r="J521" s="5"/>
      <c r="K521" s="5"/>
      <c r="L521" s="5" t="str">
        <f t="shared" si="8"/>
        <v/>
      </c>
    </row>
    <row r="522" spans="1:12">
      <c r="A522" s="4"/>
      <c r="D522" t="str">
        <f>IF($C522="","",IFERROR(INDEX(Orders!$B:$B,MATCH($C522,Orders!$A:$A,0)),""))</f>
        <v/>
      </c>
      <c r="E522" t="str">
        <f>IF($C522="","",IFERROR(INDEX(Orders!$D:$D,MATCH($C522,Orders!$A:$A,0)),""))</f>
        <v/>
      </c>
      <c r="H522" s="5"/>
      <c r="I522" s="5"/>
      <c r="J522" s="5"/>
      <c r="K522" s="5"/>
      <c r="L522" s="5" t="str">
        <f t="shared" si="8"/>
        <v/>
      </c>
    </row>
    <row r="523" spans="1:12">
      <c r="A523" s="4"/>
      <c r="D523" t="str">
        <f>IF($C523="","",IFERROR(INDEX(Orders!$B:$B,MATCH($C523,Orders!$A:$A,0)),""))</f>
        <v/>
      </c>
      <c r="E523" t="str">
        <f>IF($C523="","",IFERROR(INDEX(Orders!$D:$D,MATCH($C523,Orders!$A:$A,0)),""))</f>
        <v/>
      </c>
      <c r="H523" s="5"/>
      <c r="I523" s="5"/>
      <c r="J523" s="5"/>
      <c r="K523" s="5"/>
      <c r="L523" s="5" t="str">
        <f t="shared" si="8"/>
        <v/>
      </c>
    </row>
    <row r="524" spans="1:12">
      <c r="A524" s="4"/>
      <c r="D524" t="str">
        <f>IF($C524="","",IFERROR(INDEX(Orders!$B:$B,MATCH($C524,Orders!$A:$A,0)),""))</f>
        <v/>
      </c>
      <c r="E524" t="str">
        <f>IF($C524="","",IFERROR(INDEX(Orders!$D:$D,MATCH($C524,Orders!$A:$A,0)),""))</f>
        <v/>
      </c>
      <c r="H524" s="5"/>
      <c r="I524" s="5"/>
      <c r="J524" s="5"/>
      <c r="K524" s="5"/>
      <c r="L524" s="5" t="str">
        <f t="shared" si="8"/>
        <v/>
      </c>
    </row>
    <row r="525" spans="1:12">
      <c r="A525" s="4"/>
      <c r="D525" t="str">
        <f>IF($C525="","",IFERROR(INDEX(Orders!$B:$B,MATCH($C525,Orders!$A:$A,0)),""))</f>
        <v/>
      </c>
      <c r="E525" t="str">
        <f>IF($C525="","",IFERROR(INDEX(Orders!$D:$D,MATCH($C525,Orders!$A:$A,0)),""))</f>
        <v/>
      </c>
      <c r="H525" s="5"/>
      <c r="I525" s="5"/>
      <c r="J525" s="5"/>
      <c r="K525" s="5"/>
      <c r="L525" s="5" t="str">
        <f t="shared" si="8"/>
        <v/>
      </c>
    </row>
    <row r="526" spans="1:12">
      <c r="A526" s="4"/>
      <c r="D526" t="str">
        <f>IF($C526="","",IFERROR(INDEX(Orders!$B:$B,MATCH($C526,Orders!$A:$A,0)),""))</f>
        <v/>
      </c>
      <c r="E526" t="str">
        <f>IF($C526="","",IFERROR(INDEX(Orders!$D:$D,MATCH($C526,Orders!$A:$A,0)),""))</f>
        <v/>
      </c>
      <c r="H526" s="5"/>
      <c r="I526" s="5"/>
      <c r="J526" s="5"/>
      <c r="K526" s="5"/>
      <c r="L526" s="5" t="str">
        <f t="shared" si="8"/>
        <v/>
      </c>
    </row>
    <row r="527" spans="1:12">
      <c r="A527" s="4"/>
      <c r="D527" t="str">
        <f>IF($C527="","",IFERROR(INDEX(Orders!$B:$B,MATCH($C527,Orders!$A:$A,0)),""))</f>
        <v/>
      </c>
      <c r="E527" t="str">
        <f>IF($C527="","",IFERROR(INDEX(Orders!$D:$D,MATCH($C527,Orders!$A:$A,0)),""))</f>
        <v/>
      </c>
      <c r="H527" s="5"/>
      <c r="I527" s="5"/>
      <c r="J527" s="5"/>
      <c r="K527" s="5"/>
      <c r="L527" s="5" t="str">
        <f t="shared" si="8"/>
        <v/>
      </c>
    </row>
    <row r="528" spans="1:12">
      <c r="A528" s="4"/>
      <c r="D528" t="str">
        <f>IF($C528="","",IFERROR(INDEX(Orders!$B:$B,MATCH($C528,Orders!$A:$A,0)),""))</f>
        <v/>
      </c>
      <c r="E528" t="str">
        <f>IF($C528="","",IFERROR(INDEX(Orders!$D:$D,MATCH($C528,Orders!$A:$A,0)),""))</f>
        <v/>
      </c>
      <c r="H528" s="5"/>
      <c r="I528" s="5"/>
      <c r="J528" s="5"/>
      <c r="K528" s="5"/>
      <c r="L528" s="5" t="str">
        <f t="shared" si="8"/>
        <v/>
      </c>
    </row>
    <row r="529" spans="1:12">
      <c r="A529" s="4"/>
      <c r="D529" t="str">
        <f>IF($C529="","",IFERROR(INDEX(Orders!$B:$B,MATCH($C529,Orders!$A:$A,0)),""))</f>
        <v/>
      </c>
      <c r="E529" t="str">
        <f>IF($C529="","",IFERROR(INDEX(Orders!$D:$D,MATCH($C529,Orders!$A:$A,0)),""))</f>
        <v/>
      </c>
      <c r="H529" s="5"/>
      <c r="I529" s="5"/>
      <c r="J529" s="5"/>
      <c r="K529" s="5"/>
      <c r="L529" s="5" t="str">
        <f t="shared" si="8"/>
        <v/>
      </c>
    </row>
    <row r="530" spans="1:12">
      <c r="A530" s="4"/>
      <c r="D530" t="str">
        <f>IF($C530="","",IFERROR(INDEX(Orders!$B:$B,MATCH($C530,Orders!$A:$A,0)),""))</f>
        <v/>
      </c>
      <c r="E530" t="str">
        <f>IF($C530="","",IFERROR(INDEX(Orders!$D:$D,MATCH($C530,Orders!$A:$A,0)),""))</f>
        <v/>
      </c>
      <c r="H530" s="5"/>
      <c r="I530" s="5"/>
      <c r="J530" s="5"/>
      <c r="K530" s="5"/>
      <c r="L530" s="5" t="str">
        <f t="shared" si="8"/>
        <v/>
      </c>
    </row>
    <row r="531" spans="1:12">
      <c r="A531" s="4"/>
      <c r="D531" t="str">
        <f>IF($C531="","",IFERROR(INDEX(Orders!$B:$B,MATCH($C531,Orders!$A:$A,0)),""))</f>
        <v/>
      </c>
      <c r="E531" t="str">
        <f>IF($C531="","",IFERROR(INDEX(Orders!$D:$D,MATCH($C531,Orders!$A:$A,0)),""))</f>
        <v/>
      </c>
      <c r="H531" s="5"/>
      <c r="I531" s="5"/>
      <c r="J531" s="5"/>
      <c r="K531" s="5"/>
      <c r="L531" s="5" t="str">
        <f t="shared" si="8"/>
        <v/>
      </c>
    </row>
    <row r="532" spans="1:12">
      <c r="A532" s="4"/>
      <c r="D532" t="str">
        <f>IF($C532="","",IFERROR(INDEX(Orders!$B:$B,MATCH($C532,Orders!$A:$A,0)),""))</f>
        <v/>
      </c>
      <c r="E532" t="str">
        <f>IF($C532="","",IFERROR(INDEX(Orders!$D:$D,MATCH($C532,Orders!$A:$A,0)),""))</f>
        <v/>
      </c>
      <c r="H532" s="5"/>
      <c r="I532" s="5"/>
      <c r="J532" s="5"/>
      <c r="K532" s="5"/>
      <c r="L532" s="5" t="str">
        <f t="shared" si="8"/>
        <v/>
      </c>
    </row>
    <row r="533" spans="1:12">
      <c r="A533" s="4"/>
      <c r="D533" t="str">
        <f>IF($C533="","",IFERROR(INDEX(Orders!$B:$B,MATCH($C533,Orders!$A:$A,0)),""))</f>
        <v/>
      </c>
      <c r="E533" t="str">
        <f>IF($C533="","",IFERROR(INDEX(Orders!$D:$D,MATCH($C533,Orders!$A:$A,0)),""))</f>
        <v/>
      </c>
      <c r="H533" s="5"/>
      <c r="I533" s="5"/>
      <c r="J533" s="5"/>
      <c r="K533" s="5"/>
      <c r="L533" s="5" t="str">
        <f t="shared" si="8"/>
        <v/>
      </c>
    </row>
    <row r="534" spans="1:12">
      <c r="A534" s="4"/>
      <c r="D534" t="str">
        <f>IF($C534="","",IFERROR(INDEX(Orders!$B:$B,MATCH($C534,Orders!$A:$A,0)),""))</f>
        <v/>
      </c>
      <c r="E534" t="str">
        <f>IF($C534="","",IFERROR(INDEX(Orders!$D:$D,MATCH($C534,Orders!$A:$A,0)),""))</f>
        <v/>
      </c>
      <c r="H534" s="5"/>
      <c r="I534" s="5"/>
      <c r="J534" s="5"/>
      <c r="K534" s="5"/>
      <c r="L534" s="5" t="str">
        <f t="shared" si="8"/>
        <v/>
      </c>
    </row>
    <row r="535" spans="1:12">
      <c r="A535" s="4"/>
      <c r="D535" t="str">
        <f>IF($C535="","",IFERROR(INDEX(Orders!$B:$B,MATCH($C535,Orders!$A:$A,0)),""))</f>
        <v/>
      </c>
      <c r="E535" t="str">
        <f>IF($C535="","",IFERROR(INDEX(Orders!$D:$D,MATCH($C535,Orders!$A:$A,0)),""))</f>
        <v/>
      </c>
      <c r="H535" s="5"/>
      <c r="I535" s="5"/>
      <c r="J535" s="5"/>
      <c r="K535" s="5"/>
      <c r="L535" s="5" t="str">
        <f t="shared" si="8"/>
        <v/>
      </c>
    </row>
    <row r="536" spans="1:12">
      <c r="A536" s="4"/>
      <c r="D536" t="str">
        <f>IF($C536="","",IFERROR(INDEX(Orders!$B:$B,MATCH($C536,Orders!$A:$A,0)),""))</f>
        <v/>
      </c>
      <c r="E536" t="str">
        <f>IF($C536="","",IFERROR(INDEX(Orders!$D:$D,MATCH($C536,Orders!$A:$A,0)),""))</f>
        <v/>
      </c>
      <c r="H536" s="5"/>
      <c r="I536" s="5"/>
      <c r="J536" s="5"/>
      <c r="K536" s="5"/>
      <c r="L536" s="5" t="str">
        <f t="shared" si="8"/>
        <v/>
      </c>
    </row>
    <row r="537" spans="1:12">
      <c r="A537" s="4"/>
      <c r="D537" t="str">
        <f>IF($C537="","",IFERROR(INDEX(Orders!$B:$B,MATCH($C537,Orders!$A:$A,0)),""))</f>
        <v/>
      </c>
      <c r="E537" t="str">
        <f>IF($C537="","",IFERROR(INDEX(Orders!$D:$D,MATCH($C537,Orders!$A:$A,0)),""))</f>
        <v/>
      </c>
      <c r="H537" s="5"/>
      <c r="I537" s="5"/>
      <c r="J537" s="5"/>
      <c r="K537" s="5"/>
      <c r="L537" s="5" t="str">
        <f t="shared" si="8"/>
        <v/>
      </c>
    </row>
    <row r="538" spans="1:12">
      <c r="A538" s="4"/>
      <c r="D538" t="str">
        <f>IF($C538="","",IFERROR(INDEX(Orders!$B:$B,MATCH($C538,Orders!$A:$A,0)),""))</f>
        <v/>
      </c>
      <c r="E538" t="str">
        <f>IF($C538="","",IFERROR(INDEX(Orders!$D:$D,MATCH($C538,Orders!$A:$A,0)),""))</f>
        <v/>
      </c>
      <c r="H538" s="5"/>
      <c r="I538" s="5"/>
      <c r="J538" s="5"/>
      <c r="K538" s="5"/>
      <c r="L538" s="5" t="str">
        <f t="shared" si="8"/>
        <v/>
      </c>
    </row>
    <row r="539" spans="1:12">
      <c r="A539" s="4"/>
      <c r="D539" t="str">
        <f>IF($C539="","",IFERROR(INDEX(Orders!$B:$B,MATCH($C539,Orders!$A:$A,0)),""))</f>
        <v/>
      </c>
      <c r="E539" t="str">
        <f>IF($C539="","",IFERROR(INDEX(Orders!$D:$D,MATCH($C539,Orders!$A:$A,0)),""))</f>
        <v/>
      </c>
      <c r="H539" s="5"/>
      <c r="I539" s="5"/>
      <c r="J539" s="5"/>
      <c r="K539" s="5"/>
      <c r="L539" s="5" t="str">
        <f t="shared" si="8"/>
        <v/>
      </c>
    </row>
    <row r="540" spans="1:12">
      <c r="A540" s="4"/>
      <c r="D540" t="str">
        <f>IF($C540="","",IFERROR(INDEX(Orders!$B:$B,MATCH($C540,Orders!$A:$A,0)),""))</f>
        <v/>
      </c>
      <c r="E540" t="str">
        <f>IF($C540="","",IFERROR(INDEX(Orders!$D:$D,MATCH($C540,Orders!$A:$A,0)),""))</f>
        <v/>
      </c>
      <c r="H540" s="5"/>
      <c r="I540" s="5"/>
      <c r="J540" s="5"/>
      <c r="K540" s="5"/>
      <c r="L540" s="5" t="str">
        <f t="shared" si="8"/>
        <v/>
      </c>
    </row>
    <row r="541" spans="1:12">
      <c r="A541" s="4"/>
      <c r="D541" t="str">
        <f>IF($C541="","",IFERROR(INDEX(Orders!$B:$B,MATCH($C541,Orders!$A:$A,0)),""))</f>
        <v/>
      </c>
      <c r="E541" t="str">
        <f>IF($C541="","",IFERROR(INDEX(Orders!$D:$D,MATCH($C541,Orders!$A:$A,0)),""))</f>
        <v/>
      </c>
      <c r="H541" s="5"/>
      <c r="I541" s="5"/>
      <c r="J541" s="5"/>
      <c r="K541" s="5"/>
      <c r="L541" s="5" t="str">
        <f t="shared" si="8"/>
        <v/>
      </c>
    </row>
    <row r="542" spans="1:12">
      <c r="A542" s="4"/>
      <c r="D542" t="str">
        <f>IF($C542="","",IFERROR(INDEX(Orders!$B:$B,MATCH($C542,Orders!$A:$A,0)),""))</f>
        <v/>
      </c>
      <c r="E542" t="str">
        <f>IF($C542="","",IFERROR(INDEX(Orders!$D:$D,MATCH($C542,Orders!$A:$A,0)),""))</f>
        <v/>
      </c>
      <c r="H542" s="5"/>
      <c r="I542" s="5"/>
      <c r="J542" s="5"/>
      <c r="K542" s="5"/>
      <c r="L542" s="5" t="str">
        <f t="shared" si="8"/>
        <v/>
      </c>
    </row>
    <row r="543" spans="1:12">
      <c r="A543" s="4"/>
      <c r="D543" t="str">
        <f>IF($C543="","",IFERROR(INDEX(Orders!$B:$B,MATCH($C543,Orders!$A:$A,0)),""))</f>
        <v/>
      </c>
      <c r="E543" t="str">
        <f>IF($C543="","",IFERROR(INDEX(Orders!$D:$D,MATCH($C543,Orders!$A:$A,0)),""))</f>
        <v/>
      </c>
      <c r="H543" s="5"/>
      <c r="I543" s="5"/>
      <c r="J543" s="5"/>
      <c r="K543" s="5"/>
      <c r="L543" s="5" t="str">
        <f t="shared" si="8"/>
        <v/>
      </c>
    </row>
    <row r="544" spans="1:12">
      <c r="A544" s="4"/>
      <c r="D544" t="str">
        <f>IF($C544="","",IFERROR(INDEX(Orders!$B:$B,MATCH($C544,Orders!$A:$A,0)),""))</f>
        <v/>
      </c>
      <c r="E544" t="str">
        <f>IF($C544="","",IFERROR(INDEX(Orders!$D:$D,MATCH($C544,Orders!$A:$A,0)),""))</f>
        <v/>
      </c>
      <c r="H544" s="5"/>
      <c r="I544" s="5"/>
      <c r="J544" s="5"/>
      <c r="K544" s="5"/>
      <c r="L544" s="5" t="str">
        <f t="shared" si="8"/>
        <v/>
      </c>
    </row>
    <row r="545" spans="1:12">
      <c r="A545" s="4"/>
      <c r="D545" t="str">
        <f>IF($C545="","",IFERROR(INDEX(Orders!$B:$B,MATCH($C545,Orders!$A:$A,0)),""))</f>
        <v/>
      </c>
      <c r="E545" t="str">
        <f>IF($C545="","",IFERROR(INDEX(Orders!$D:$D,MATCH($C545,Orders!$A:$A,0)),""))</f>
        <v/>
      </c>
      <c r="H545" s="5"/>
      <c r="I545" s="5"/>
      <c r="J545" s="5"/>
      <c r="K545" s="5"/>
      <c r="L545" s="5" t="str">
        <f t="shared" si="8"/>
        <v/>
      </c>
    </row>
    <row r="546" spans="1:12">
      <c r="A546" s="4"/>
      <c r="D546" t="str">
        <f>IF($C546="","",IFERROR(INDEX(Orders!$B:$B,MATCH($C546,Orders!$A:$A,0)),""))</f>
        <v/>
      </c>
      <c r="E546" t="str">
        <f>IF($C546="","",IFERROR(INDEX(Orders!$D:$D,MATCH($C546,Orders!$A:$A,0)),""))</f>
        <v/>
      </c>
      <c r="H546" s="5"/>
      <c r="I546" s="5"/>
      <c r="J546" s="5"/>
      <c r="K546" s="5"/>
      <c r="L546" s="5" t="str">
        <f t="shared" si="8"/>
        <v/>
      </c>
    </row>
    <row r="547" spans="1:12">
      <c r="A547" s="4"/>
      <c r="D547" t="str">
        <f>IF($C547="","",IFERROR(INDEX(Orders!$B:$B,MATCH($C547,Orders!$A:$A,0)),""))</f>
        <v/>
      </c>
      <c r="E547" t="str">
        <f>IF($C547="","",IFERROR(INDEX(Orders!$D:$D,MATCH($C547,Orders!$A:$A,0)),""))</f>
        <v/>
      </c>
      <c r="H547" s="5"/>
      <c r="I547" s="5"/>
      <c r="J547" s="5"/>
      <c r="K547" s="5"/>
      <c r="L547" s="5" t="str">
        <f t="shared" si="8"/>
        <v/>
      </c>
    </row>
    <row r="548" spans="1:12">
      <c r="A548" s="4"/>
      <c r="D548" t="str">
        <f>IF($C548="","",IFERROR(INDEX(Orders!$B:$B,MATCH($C548,Orders!$A:$A,0)),""))</f>
        <v/>
      </c>
      <c r="E548" t="str">
        <f>IF($C548="","",IFERROR(INDEX(Orders!$D:$D,MATCH($C548,Orders!$A:$A,0)),""))</f>
        <v/>
      </c>
      <c r="H548" s="5"/>
      <c r="I548" s="5"/>
      <c r="J548" s="5"/>
      <c r="K548" s="5"/>
      <c r="L548" s="5" t="str">
        <f t="shared" si="8"/>
        <v/>
      </c>
    </row>
    <row r="549" spans="1:12">
      <c r="A549" s="4"/>
      <c r="D549" t="str">
        <f>IF($C549="","",IFERROR(INDEX(Orders!$B:$B,MATCH($C549,Orders!$A:$A,0)),""))</f>
        <v/>
      </c>
      <c r="E549" t="str">
        <f>IF($C549="","",IFERROR(INDEX(Orders!$D:$D,MATCH($C549,Orders!$A:$A,0)),""))</f>
        <v/>
      </c>
      <c r="H549" s="5"/>
      <c r="I549" s="5"/>
      <c r="J549" s="5"/>
      <c r="K549" s="5"/>
      <c r="L549" s="5" t="str">
        <f t="shared" si="8"/>
        <v/>
      </c>
    </row>
    <row r="550" spans="1:12">
      <c r="A550" s="4"/>
      <c r="D550" t="str">
        <f>IF($C550="","",IFERROR(INDEX(Orders!$B:$B,MATCH($C550,Orders!$A:$A,0)),""))</f>
        <v/>
      </c>
      <c r="E550" t="str">
        <f>IF($C550="","",IFERROR(INDEX(Orders!$D:$D,MATCH($C550,Orders!$A:$A,0)),""))</f>
        <v/>
      </c>
      <c r="H550" s="5"/>
      <c r="I550" s="5"/>
      <c r="J550" s="5"/>
      <c r="K550" s="5"/>
      <c r="L550" s="5" t="str">
        <f t="shared" si="8"/>
        <v/>
      </c>
    </row>
    <row r="551" spans="1:12">
      <c r="A551" s="4"/>
      <c r="D551" t="str">
        <f>IF($C551="","",IFERROR(INDEX(Orders!$B:$B,MATCH($C551,Orders!$A:$A,0)),""))</f>
        <v/>
      </c>
      <c r="E551" t="str">
        <f>IF($C551="","",IFERROR(INDEX(Orders!$D:$D,MATCH($C551,Orders!$A:$A,0)),""))</f>
        <v/>
      </c>
      <c r="H551" s="5"/>
      <c r="I551" s="5"/>
      <c r="J551" s="5"/>
      <c r="K551" s="5"/>
      <c r="L551" s="5" t="str">
        <f t="shared" si="8"/>
        <v/>
      </c>
    </row>
    <row r="552" spans="1:12">
      <c r="A552" s="4"/>
      <c r="D552" t="str">
        <f>IF($C552="","",IFERROR(INDEX(Orders!$B:$B,MATCH($C552,Orders!$A:$A,0)),""))</f>
        <v/>
      </c>
      <c r="E552" t="str">
        <f>IF($C552="","",IFERROR(INDEX(Orders!$D:$D,MATCH($C552,Orders!$A:$A,0)),""))</f>
        <v/>
      </c>
      <c r="H552" s="5"/>
      <c r="I552" s="5"/>
      <c r="J552" s="5"/>
      <c r="K552" s="5"/>
      <c r="L552" s="5" t="str">
        <f t="shared" si="8"/>
        <v/>
      </c>
    </row>
    <row r="553" spans="1:12">
      <c r="A553" s="4"/>
      <c r="D553" t="str">
        <f>IF($C553="","",IFERROR(INDEX(Orders!$B:$B,MATCH($C553,Orders!$A:$A,0)),""))</f>
        <v/>
      </c>
      <c r="E553" t="str">
        <f>IF($C553="","",IFERROR(INDEX(Orders!$D:$D,MATCH($C553,Orders!$A:$A,0)),""))</f>
        <v/>
      </c>
      <c r="H553" s="5"/>
      <c r="I553" s="5"/>
      <c r="J553" s="5"/>
      <c r="K553" s="5"/>
      <c r="L553" s="5" t="str">
        <f t="shared" si="8"/>
        <v/>
      </c>
    </row>
    <row r="554" spans="1:12">
      <c r="A554" s="4"/>
      <c r="D554" t="str">
        <f>IF($C554="","",IFERROR(INDEX(Orders!$B:$B,MATCH($C554,Orders!$A:$A,0)),""))</f>
        <v/>
      </c>
      <c r="E554" t="str">
        <f>IF($C554="","",IFERROR(INDEX(Orders!$D:$D,MATCH($C554,Orders!$A:$A,0)),""))</f>
        <v/>
      </c>
      <c r="H554" s="5"/>
      <c r="I554" s="5"/>
      <c r="J554" s="5"/>
      <c r="K554" s="5"/>
      <c r="L554" s="5" t="str">
        <f t="shared" si="8"/>
        <v/>
      </c>
    </row>
    <row r="555" spans="1:12">
      <c r="A555" s="4"/>
      <c r="D555" t="str">
        <f>IF($C555="","",IFERROR(INDEX(Orders!$B:$B,MATCH($C555,Orders!$A:$A,0)),""))</f>
        <v/>
      </c>
      <c r="E555" t="str">
        <f>IF($C555="","",IFERROR(INDEX(Orders!$D:$D,MATCH($C555,Orders!$A:$A,0)),""))</f>
        <v/>
      </c>
      <c r="H555" s="5"/>
      <c r="I555" s="5"/>
      <c r="J555" s="5"/>
      <c r="K555" s="5"/>
      <c r="L555" s="5" t="str">
        <f t="shared" si="8"/>
        <v/>
      </c>
    </row>
    <row r="556" spans="1:12">
      <c r="A556" s="4"/>
      <c r="D556" t="str">
        <f>IF($C556="","",IFERROR(INDEX(Orders!$B:$B,MATCH($C556,Orders!$A:$A,0)),""))</f>
        <v/>
      </c>
      <c r="E556" t="str">
        <f>IF($C556="","",IFERROR(INDEX(Orders!$D:$D,MATCH($C556,Orders!$A:$A,0)),""))</f>
        <v/>
      </c>
      <c r="H556" s="5"/>
      <c r="I556" s="5"/>
      <c r="J556" s="5"/>
      <c r="K556" s="5"/>
      <c r="L556" s="5" t="str">
        <f t="shared" si="8"/>
        <v/>
      </c>
    </row>
    <row r="557" spans="1:12">
      <c r="A557" s="4"/>
      <c r="D557" t="str">
        <f>IF($C557="","",IFERROR(INDEX(Orders!$B:$B,MATCH($C557,Orders!$A:$A,0)),""))</f>
        <v/>
      </c>
      <c r="E557" t="str">
        <f>IF($C557="","",IFERROR(INDEX(Orders!$D:$D,MATCH($C557,Orders!$A:$A,0)),""))</f>
        <v/>
      </c>
      <c r="H557" s="5"/>
      <c r="I557" s="5"/>
      <c r="J557" s="5"/>
      <c r="K557" s="5"/>
      <c r="L557" s="5" t="str">
        <f t="shared" si="8"/>
        <v/>
      </c>
    </row>
    <row r="558" spans="1:12">
      <c r="A558" s="4"/>
      <c r="D558" t="str">
        <f>IF($C558="","",IFERROR(INDEX(Orders!$B:$B,MATCH($C558,Orders!$A:$A,0)),""))</f>
        <v/>
      </c>
      <c r="E558" t="str">
        <f>IF($C558="","",IFERROR(INDEX(Orders!$D:$D,MATCH($C558,Orders!$A:$A,0)),""))</f>
        <v/>
      </c>
      <c r="H558" s="5"/>
      <c r="I558" s="5"/>
      <c r="J558" s="5"/>
      <c r="K558" s="5"/>
      <c r="L558" s="5" t="str">
        <f t="shared" si="8"/>
        <v/>
      </c>
    </row>
    <row r="559" spans="1:12">
      <c r="A559" s="4"/>
      <c r="D559" t="str">
        <f>IF($C559="","",IFERROR(INDEX(Orders!$B:$B,MATCH($C559,Orders!$A:$A,0)),""))</f>
        <v/>
      </c>
      <c r="E559" t="str">
        <f>IF($C559="","",IFERROR(INDEX(Orders!$D:$D,MATCH($C559,Orders!$A:$A,0)),""))</f>
        <v/>
      </c>
      <c r="H559" s="5"/>
      <c r="I559" s="5"/>
      <c r="J559" s="5"/>
      <c r="K559" s="5"/>
      <c r="L559" s="5" t="str">
        <f t="shared" si="8"/>
        <v/>
      </c>
    </row>
    <row r="560" spans="1:12">
      <c r="A560" s="4"/>
      <c r="D560" t="str">
        <f>IF($C560="","",IFERROR(INDEX(Orders!$B:$B,MATCH($C560,Orders!$A:$A,0)),""))</f>
        <v/>
      </c>
      <c r="E560" t="str">
        <f>IF($C560="","",IFERROR(INDEX(Orders!$D:$D,MATCH($C560,Orders!$A:$A,0)),""))</f>
        <v/>
      </c>
      <c r="H560" s="5"/>
      <c r="I560" s="5"/>
      <c r="J560" s="5"/>
      <c r="K560" s="5"/>
      <c r="L560" s="5" t="str">
        <f t="shared" si="8"/>
        <v/>
      </c>
    </row>
    <row r="561" spans="1:12">
      <c r="A561" s="4"/>
      <c r="D561" t="str">
        <f>IF($C561="","",IFERROR(INDEX(Orders!$B:$B,MATCH($C561,Orders!$A:$A,0)),""))</f>
        <v/>
      </c>
      <c r="E561" t="str">
        <f>IF($C561="","",IFERROR(INDEX(Orders!$D:$D,MATCH($C561,Orders!$A:$A,0)),""))</f>
        <v/>
      </c>
      <c r="H561" s="5"/>
      <c r="I561" s="5"/>
      <c r="J561" s="5"/>
      <c r="K561" s="5"/>
      <c r="L561" s="5" t="str">
        <f t="shared" si="8"/>
        <v/>
      </c>
    </row>
    <row r="562" spans="1:12">
      <c r="A562" s="4"/>
      <c r="D562" t="str">
        <f>IF($C562="","",IFERROR(INDEX(Orders!$B:$B,MATCH($C562,Orders!$A:$A,0)),""))</f>
        <v/>
      </c>
      <c r="E562" t="str">
        <f>IF($C562="","",IFERROR(INDEX(Orders!$D:$D,MATCH($C562,Orders!$A:$A,0)),""))</f>
        <v/>
      </c>
      <c r="H562" s="5"/>
      <c r="I562" s="5"/>
      <c r="J562" s="5"/>
      <c r="K562" s="5"/>
      <c r="L562" s="5" t="str">
        <f t="shared" si="8"/>
        <v/>
      </c>
    </row>
    <row r="563" spans="1:12">
      <c r="A563" s="4"/>
      <c r="D563" t="str">
        <f>IF($C563="","",IFERROR(INDEX(Orders!$B:$B,MATCH($C563,Orders!$A:$A,0)),""))</f>
        <v/>
      </c>
      <c r="E563" t="str">
        <f>IF($C563="","",IFERROR(INDEX(Orders!$D:$D,MATCH($C563,Orders!$A:$A,0)),""))</f>
        <v/>
      </c>
      <c r="H563" s="5"/>
      <c r="I563" s="5"/>
      <c r="J563" s="5"/>
      <c r="K563" s="5"/>
      <c r="L563" s="5" t="str">
        <f t="shared" si="8"/>
        <v/>
      </c>
    </row>
    <row r="564" spans="1:12">
      <c r="A564" s="4"/>
      <c r="D564" t="str">
        <f>IF($C564="","",IFERROR(INDEX(Orders!$B:$B,MATCH($C564,Orders!$A:$A,0)),""))</f>
        <v/>
      </c>
      <c r="E564" t="str">
        <f>IF($C564="","",IFERROR(INDEX(Orders!$D:$D,MATCH($C564,Orders!$A:$A,0)),""))</f>
        <v/>
      </c>
      <c r="H564" s="5"/>
      <c r="I564" s="5"/>
      <c r="J564" s="5"/>
      <c r="K564" s="5"/>
      <c r="L564" s="5" t="str">
        <f t="shared" si="8"/>
        <v/>
      </c>
    </row>
    <row r="565" spans="1:12">
      <c r="A565" s="4"/>
      <c r="D565" t="str">
        <f>IF($C565="","",IFERROR(INDEX(Orders!$B:$B,MATCH($C565,Orders!$A:$A,0)),""))</f>
        <v/>
      </c>
      <c r="E565" t="str">
        <f>IF($C565="","",IFERROR(INDEX(Orders!$D:$D,MATCH($C565,Orders!$A:$A,0)),""))</f>
        <v/>
      </c>
      <c r="H565" s="5"/>
      <c r="I565" s="5"/>
      <c r="J565" s="5"/>
      <c r="K565" s="5"/>
      <c r="L565" s="5" t="str">
        <f t="shared" si="8"/>
        <v/>
      </c>
    </row>
    <row r="566" spans="1:12">
      <c r="A566" s="4"/>
      <c r="D566" t="str">
        <f>IF($C566="","",IFERROR(INDEX(Orders!$B:$B,MATCH($C566,Orders!$A:$A,0)),""))</f>
        <v/>
      </c>
      <c r="E566" t="str">
        <f>IF($C566="","",IFERROR(INDEX(Orders!$D:$D,MATCH($C566,Orders!$A:$A,0)),""))</f>
        <v/>
      </c>
      <c r="H566" s="5"/>
      <c r="I566" s="5"/>
      <c r="J566" s="5"/>
      <c r="K566" s="5"/>
      <c r="L566" s="5" t="str">
        <f t="shared" si="8"/>
        <v/>
      </c>
    </row>
    <row r="567" spans="1:12">
      <c r="A567" s="4"/>
      <c r="D567" t="str">
        <f>IF($C567="","",IFERROR(INDEX(Orders!$B:$B,MATCH($C567,Orders!$A:$A,0)),""))</f>
        <v/>
      </c>
      <c r="E567" t="str">
        <f>IF($C567="","",IFERROR(INDEX(Orders!$D:$D,MATCH($C567,Orders!$A:$A,0)),""))</f>
        <v/>
      </c>
      <c r="H567" s="5"/>
      <c r="I567" s="5"/>
      <c r="J567" s="5"/>
      <c r="K567" s="5"/>
      <c r="L567" s="5" t="str">
        <f t="shared" si="8"/>
        <v/>
      </c>
    </row>
    <row r="568" spans="1:12">
      <c r="A568" s="4"/>
      <c r="D568" t="str">
        <f>IF($C568="","",IFERROR(INDEX(Orders!$B:$B,MATCH($C568,Orders!$A:$A,0)),""))</f>
        <v/>
      </c>
      <c r="E568" t="str">
        <f>IF($C568="","",IFERROR(INDEX(Orders!$D:$D,MATCH($C568,Orders!$A:$A,0)),""))</f>
        <v/>
      </c>
      <c r="H568" s="5"/>
      <c r="I568" s="5"/>
      <c r="J568" s="5"/>
      <c r="K568" s="5"/>
      <c r="L568" s="5" t="str">
        <f t="shared" si="8"/>
        <v/>
      </c>
    </row>
    <row r="569" spans="1:12">
      <c r="A569" s="4"/>
      <c r="D569" t="str">
        <f>IF($C569="","",IFERROR(INDEX(Orders!$B:$B,MATCH($C569,Orders!$A:$A,0)),""))</f>
        <v/>
      </c>
      <c r="E569" t="str">
        <f>IF($C569="","",IFERROR(INDEX(Orders!$D:$D,MATCH($C569,Orders!$A:$A,0)),""))</f>
        <v/>
      </c>
      <c r="H569" s="5"/>
      <c r="I569" s="5"/>
      <c r="J569" s="5"/>
      <c r="K569" s="5"/>
      <c r="L569" s="5" t="str">
        <f t="shared" si="8"/>
        <v/>
      </c>
    </row>
    <row r="570" spans="1:12">
      <c r="A570" s="4"/>
      <c r="D570" t="str">
        <f>IF($C570="","",IFERROR(INDEX(Orders!$B:$B,MATCH($C570,Orders!$A:$A,0)),""))</f>
        <v/>
      </c>
      <c r="E570" t="str">
        <f>IF($C570="","",IFERROR(INDEX(Orders!$D:$D,MATCH($C570,Orders!$A:$A,0)),""))</f>
        <v/>
      </c>
      <c r="H570" s="5"/>
      <c r="I570" s="5"/>
      <c r="J570" s="5"/>
      <c r="K570" s="5"/>
      <c r="L570" s="5" t="str">
        <f t="shared" si="8"/>
        <v/>
      </c>
    </row>
    <row r="571" spans="1:12">
      <c r="A571" s="4"/>
      <c r="D571" t="str">
        <f>IF($C571="","",IFERROR(INDEX(Orders!$B:$B,MATCH($C571,Orders!$A:$A,0)),""))</f>
        <v/>
      </c>
      <c r="E571" t="str">
        <f>IF($C571="","",IFERROR(INDEX(Orders!$D:$D,MATCH($C571,Orders!$A:$A,0)),""))</f>
        <v/>
      </c>
      <c r="H571" s="5"/>
      <c r="I571" s="5"/>
      <c r="J571" s="5"/>
      <c r="K571" s="5"/>
      <c r="L571" s="5" t="str">
        <f t="shared" si="8"/>
        <v/>
      </c>
    </row>
    <row r="572" spans="1:12">
      <c r="A572" s="4"/>
      <c r="D572" t="str">
        <f>IF($C572="","",IFERROR(INDEX(Orders!$B:$B,MATCH($C572,Orders!$A:$A,0)),""))</f>
        <v/>
      </c>
      <c r="E572" t="str">
        <f>IF($C572="","",IFERROR(INDEX(Orders!$D:$D,MATCH($C572,Orders!$A:$A,0)),""))</f>
        <v/>
      </c>
      <c r="H572" s="5"/>
      <c r="I572" s="5"/>
      <c r="J572" s="5"/>
      <c r="K572" s="5"/>
      <c r="L572" s="5" t="str">
        <f t="shared" si="8"/>
        <v/>
      </c>
    </row>
    <row r="573" spans="1:12">
      <c r="A573" s="4"/>
      <c r="D573" t="str">
        <f>IF($C573="","",IFERROR(INDEX(Orders!$B:$B,MATCH($C573,Orders!$A:$A,0)),""))</f>
        <v/>
      </c>
      <c r="E573" t="str">
        <f>IF($C573="","",IFERROR(INDEX(Orders!$D:$D,MATCH($C573,Orders!$A:$A,0)),""))</f>
        <v/>
      </c>
      <c r="H573" s="5"/>
      <c r="I573" s="5"/>
      <c r="J573" s="5"/>
      <c r="K573" s="5"/>
      <c r="L573" s="5" t="str">
        <f t="shared" si="8"/>
        <v/>
      </c>
    </row>
    <row r="574" spans="1:12">
      <c r="A574" s="4"/>
      <c r="D574" t="str">
        <f>IF($C574="","",IFERROR(INDEX(Orders!$B:$B,MATCH($C574,Orders!$A:$A,0)),""))</f>
        <v/>
      </c>
      <c r="E574" t="str">
        <f>IF($C574="","",IFERROR(INDEX(Orders!$D:$D,MATCH($C574,Orders!$A:$A,0)),""))</f>
        <v/>
      </c>
      <c r="H574" s="5"/>
      <c r="I574" s="5"/>
      <c r="J574" s="5"/>
      <c r="K574" s="5"/>
      <c r="L574" s="5" t="str">
        <f t="shared" si="8"/>
        <v/>
      </c>
    </row>
    <row r="575" spans="1:12">
      <c r="A575" s="4"/>
      <c r="D575" t="str">
        <f>IF($C575="","",IFERROR(INDEX(Orders!$B:$B,MATCH($C575,Orders!$A:$A,0)),""))</f>
        <v/>
      </c>
      <c r="E575" t="str">
        <f>IF($C575="","",IFERROR(INDEX(Orders!$D:$D,MATCH($C575,Orders!$A:$A,0)),""))</f>
        <v/>
      </c>
      <c r="H575" s="5"/>
      <c r="I575" s="5"/>
      <c r="J575" s="5"/>
      <c r="K575" s="5"/>
      <c r="L575" s="5" t="str">
        <f t="shared" si="8"/>
        <v/>
      </c>
    </row>
    <row r="576" spans="1:12">
      <c r="A576" s="4"/>
      <c r="D576" t="str">
        <f>IF($C576="","",IFERROR(INDEX(Orders!$B:$B,MATCH($C576,Orders!$A:$A,0)),""))</f>
        <v/>
      </c>
      <c r="E576" t="str">
        <f>IF($C576="","",IFERROR(INDEX(Orders!$D:$D,MATCH($C576,Orders!$A:$A,0)),""))</f>
        <v/>
      </c>
      <c r="H576" s="5"/>
      <c r="I576" s="5"/>
      <c r="J576" s="5"/>
      <c r="K576" s="5"/>
      <c r="L576" s="5" t="str">
        <f t="shared" si="8"/>
        <v/>
      </c>
    </row>
    <row r="577" spans="1:12">
      <c r="A577" s="4"/>
      <c r="D577" t="str">
        <f>IF($C577="","",IFERROR(INDEX(Orders!$B:$B,MATCH($C577,Orders!$A:$A,0)),""))</f>
        <v/>
      </c>
      <c r="E577" t="str">
        <f>IF($C577="","",IFERROR(INDEX(Orders!$D:$D,MATCH($C577,Orders!$A:$A,0)),""))</f>
        <v/>
      </c>
      <c r="H577" s="5"/>
      <c r="I577" s="5"/>
      <c r="J577" s="5"/>
      <c r="K577" s="5"/>
      <c r="L577" s="5" t="str">
        <f t="shared" si="8"/>
        <v/>
      </c>
    </row>
    <row r="578" spans="1:12">
      <c r="A578" s="4"/>
      <c r="D578" t="str">
        <f>IF($C578="","",IFERROR(INDEX(Orders!$B:$B,MATCH($C578,Orders!$A:$A,0)),""))</f>
        <v/>
      </c>
      <c r="E578" t="str">
        <f>IF($C578="","",IFERROR(INDEX(Orders!$D:$D,MATCH($C578,Orders!$A:$A,0)),""))</f>
        <v/>
      </c>
      <c r="H578" s="5"/>
      <c r="I578" s="5"/>
      <c r="J578" s="5"/>
      <c r="K578" s="5"/>
      <c r="L578" s="5" t="str">
        <f t="shared" ref="L578:L641" si="9">IF($C578="","",$H578-$I578-$K578)</f>
        <v/>
      </c>
    </row>
    <row r="579" spans="1:12">
      <c r="A579" s="4"/>
      <c r="D579" t="str">
        <f>IF($C579="","",IFERROR(INDEX(Orders!$B:$B,MATCH($C579,Orders!$A:$A,0)),""))</f>
        <v/>
      </c>
      <c r="E579" t="str">
        <f>IF($C579="","",IFERROR(INDEX(Orders!$D:$D,MATCH($C579,Orders!$A:$A,0)),""))</f>
        <v/>
      </c>
      <c r="H579" s="5"/>
      <c r="I579" s="5"/>
      <c r="J579" s="5"/>
      <c r="K579" s="5"/>
      <c r="L579" s="5" t="str">
        <f t="shared" si="9"/>
        <v/>
      </c>
    </row>
    <row r="580" spans="1:12">
      <c r="A580" s="4"/>
      <c r="D580" t="str">
        <f>IF($C580="","",IFERROR(INDEX(Orders!$B:$B,MATCH($C580,Orders!$A:$A,0)),""))</f>
        <v/>
      </c>
      <c r="E580" t="str">
        <f>IF($C580="","",IFERROR(INDEX(Orders!$D:$D,MATCH($C580,Orders!$A:$A,0)),""))</f>
        <v/>
      </c>
      <c r="H580" s="5"/>
      <c r="I580" s="5"/>
      <c r="J580" s="5"/>
      <c r="K580" s="5"/>
      <c r="L580" s="5" t="str">
        <f t="shared" si="9"/>
        <v/>
      </c>
    </row>
    <row r="581" spans="1:12">
      <c r="A581" s="4"/>
      <c r="D581" t="str">
        <f>IF($C581="","",IFERROR(INDEX(Orders!$B:$B,MATCH($C581,Orders!$A:$A,0)),""))</f>
        <v/>
      </c>
      <c r="E581" t="str">
        <f>IF($C581="","",IFERROR(INDEX(Orders!$D:$D,MATCH($C581,Orders!$A:$A,0)),""))</f>
        <v/>
      </c>
      <c r="H581" s="5"/>
      <c r="I581" s="5"/>
      <c r="J581" s="5"/>
      <c r="K581" s="5"/>
      <c r="L581" s="5" t="str">
        <f t="shared" si="9"/>
        <v/>
      </c>
    </row>
    <row r="582" spans="1:12">
      <c r="A582" s="4"/>
      <c r="D582" t="str">
        <f>IF($C582="","",IFERROR(INDEX(Orders!$B:$B,MATCH($C582,Orders!$A:$A,0)),""))</f>
        <v/>
      </c>
      <c r="E582" t="str">
        <f>IF($C582="","",IFERROR(INDEX(Orders!$D:$D,MATCH($C582,Orders!$A:$A,0)),""))</f>
        <v/>
      </c>
      <c r="H582" s="5"/>
      <c r="I582" s="5"/>
      <c r="J582" s="5"/>
      <c r="K582" s="5"/>
      <c r="L582" s="5" t="str">
        <f t="shared" si="9"/>
        <v/>
      </c>
    </row>
    <row r="583" spans="1:12">
      <c r="A583" s="4"/>
      <c r="D583" t="str">
        <f>IF($C583="","",IFERROR(INDEX(Orders!$B:$B,MATCH($C583,Orders!$A:$A,0)),""))</f>
        <v/>
      </c>
      <c r="E583" t="str">
        <f>IF($C583="","",IFERROR(INDEX(Orders!$D:$D,MATCH($C583,Orders!$A:$A,0)),""))</f>
        <v/>
      </c>
      <c r="H583" s="5"/>
      <c r="I583" s="5"/>
      <c r="J583" s="5"/>
      <c r="K583" s="5"/>
      <c r="L583" s="5" t="str">
        <f t="shared" si="9"/>
        <v/>
      </c>
    </row>
    <row r="584" spans="1:12">
      <c r="A584" s="4"/>
      <c r="D584" t="str">
        <f>IF($C584="","",IFERROR(INDEX(Orders!$B:$B,MATCH($C584,Orders!$A:$A,0)),""))</f>
        <v/>
      </c>
      <c r="E584" t="str">
        <f>IF($C584="","",IFERROR(INDEX(Orders!$D:$D,MATCH($C584,Orders!$A:$A,0)),""))</f>
        <v/>
      </c>
      <c r="H584" s="5"/>
      <c r="I584" s="5"/>
      <c r="J584" s="5"/>
      <c r="K584" s="5"/>
      <c r="L584" s="5" t="str">
        <f t="shared" si="9"/>
        <v/>
      </c>
    </row>
    <row r="585" spans="1:12">
      <c r="A585" s="4"/>
      <c r="D585" t="str">
        <f>IF($C585="","",IFERROR(INDEX(Orders!$B:$B,MATCH($C585,Orders!$A:$A,0)),""))</f>
        <v/>
      </c>
      <c r="E585" t="str">
        <f>IF($C585="","",IFERROR(INDEX(Orders!$D:$D,MATCH($C585,Orders!$A:$A,0)),""))</f>
        <v/>
      </c>
      <c r="H585" s="5"/>
      <c r="I585" s="5"/>
      <c r="J585" s="5"/>
      <c r="K585" s="5"/>
      <c r="L585" s="5" t="str">
        <f t="shared" si="9"/>
        <v/>
      </c>
    </row>
    <row r="586" spans="1:12">
      <c r="A586" s="4"/>
      <c r="D586" t="str">
        <f>IF($C586="","",IFERROR(INDEX(Orders!$B:$B,MATCH($C586,Orders!$A:$A,0)),""))</f>
        <v/>
      </c>
      <c r="E586" t="str">
        <f>IF($C586="","",IFERROR(INDEX(Orders!$D:$D,MATCH($C586,Orders!$A:$A,0)),""))</f>
        <v/>
      </c>
      <c r="H586" s="5"/>
      <c r="I586" s="5"/>
      <c r="J586" s="5"/>
      <c r="K586" s="5"/>
      <c r="L586" s="5" t="str">
        <f t="shared" si="9"/>
        <v/>
      </c>
    </row>
    <row r="587" spans="1:12">
      <c r="A587" s="4"/>
      <c r="D587" t="str">
        <f>IF($C587="","",IFERROR(INDEX(Orders!$B:$B,MATCH($C587,Orders!$A:$A,0)),""))</f>
        <v/>
      </c>
      <c r="E587" t="str">
        <f>IF($C587="","",IFERROR(INDEX(Orders!$D:$D,MATCH($C587,Orders!$A:$A,0)),""))</f>
        <v/>
      </c>
      <c r="H587" s="5"/>
      <c r="I587" s="5"/>
      <c r="J587" s="5"/>
      <c r="K587" s="5"/>
      <c r="L587" s="5" t="str">
        <f t="shared" si="9"/>
        <v/>
      </c>
    </row>
    <row r="588" spans="1:12">
      <c r="A588" s="4"/>
      <c r="D588" t="str">
        <f>IF($C588="","",IFERROR(INDEX(Orders!$B:$B,MATCH($C588,Orders!$A:$A,0)),""))</f>
        <v/>
      </c>
      <c r="E588" t="str">
        <f>IF($C588="","",IFERROR(INDEX(Orders!$D:$D,MATCH($C588,Orders!$A:$A,0)),""))</f>
        <v/>
      </c>
      <c r="H588" s="5"/>
      <c r="I588" s="5"/>
      <c r="J588" s="5"/>
      <c r="K588" s="5"/>
      <c r="L588" s="5" t="str">
        <f t="shared" si="9"/>
        <v/>
      </c>
    </row>
    <row r="589" spans="1:12">
      <c r="A589" s="4"/>
      <c r="D589" t="str">
        <f>IF($C589="","",IFERROR(INDEX(Orders!$B:$B,MATCH($C589,Orders!$A:$A,0)),""))</f>
        <v/>
      </c>
      <c r="E589" t="str">
        <f>IF($C589="","",IFERROR(INDEX(Orders!$D:$D,MATCH($C589,Orders!$A:$A,0)),""))</f>
        <v/>
      </c>
      <c r="H589" s="5"/>
      <c r="I589" s="5"/>
      <c r="J589" s="5"/>
      <c r="K589" s="5"/>
      <c r="L589" s="5" t="str">
        <f t="shared" si="9"/>
        <v/>
      </c>
    </row>
    <row r="590" spans="1:12">
      <c r="A590" s="4"/>
      <c r="D590" t="str">
        <f>IF($C590="","",IFERROR(INDEX(Orders!$B:$B,MATCH($C590,Orders!$A:$A,0)),""))</f>
        <v/>
      </c>
      <c r="E590" t="str">
        <f>IF($C590="","",IFERROR(INDEX(Orders!$D:$D,MATCH($C590,Orders!$A:$A,0)),""))</f>
        <v/>
      </c>
      <c r="H590" s="5"/>
      <c r="I590" s="5"/>
      <c r="J590" s="5"/>
      <c r="K590" s="5"/>
      <c r="L590" s="5" t="str">
        <f t="shared" si="9"/>
        <v/>
      </c>
    </row>
    <row r="591" spans="1:12">
      <c r="A591" s="4"/>
      <c r="D591" t="str">
        <f>IF($C591="","",IFERROR(INDEX(Orders!$B:$B,MATCH($C591,Orders!$A:$A,0)),""))</f>
        <v/>
      </c>
      <c r="E591" t="str">
        <f>IF($C591="","",IFERROR(INDEX(Orders!$D:$D,MATCH($C591,Orders!$A:$A,0)),""))</f>
        <v/>
      </c>
      <c r="H591" s="5"/>
      <c r="I591" s="5"/>
      <c r="J591" s="5"/>
      <c r="K591" s="5"/>
      <c r="L591" s="5" t="str">
        <f t="shared" si="9"/>
        <v/>
      </c>
    </row>
    <row r="592" spans="1:12">
      <c r="A592" s="4"/>
      <c r="D592" t="str">
        <f>IF($C592="","",IFERROR(INDEX(Orders!$B:$B,MATCH($C592,Orders!$A:$A,0)),""))</f>
        <v/>
      </c>
      <c r="E592" t="str">
        <f>IF($C592="","",IFERROR(INDEX(Orders!$D:$D,MATCH($C592,Orders!$A:$A,0)),""))</f>
        <v/>
      </c>
      <c r="H592" s="5"/>
      <c r="I592" s="5"/>
      <c r="J592" s="5"/>
      <c r="K592" s="5"/>
      <c r="L592" s="5" t="str">
        <f t="shared" si="9"/>
        <v/>
      </c>
    </row>
    <row r="593" spans="1:12">
      <c r="A593" s="4"/>
      <c r="D593" t="str">
        <f>IF($C593="","",IFERROR(INDEX(Orders!$B:$B,MATCH($C593,Orders!$A:$A,0)),""))</f>
        <v/>
      </c>
      <c r="E593" t="str">
        <f>IF($C593="","",IFERROR(INDEX(Orders!$D:$D,MATCH($C593,Orders!$A:$A,0)),""))</f>
        <v/>
      </c>
      <c r="H593" s="5"/>
      <c r="I593" s="5"/>
      <c r="J593" s="5"/>
      <c r="K593" s="5"/>
      <c r="L593" s="5" t="str">
        <f t="shared" si="9"/>
        <v/>
      </c>
    </row>
    <row r="594" spans="1:12">
      <c r="A594" s="4"/>
      <c r="D594" t="str">
        <f>IF($C594="","",IFERROR(INDEX(Orders!$B:$B,MATCH($C594,Orders!$A:$A,0)),""))</f>
        <v/>
      </c>
      <c r="E594" t="str">
        <f>IF($C594="","",IFERROR(INDEX(Orders!$D:$D,MATCH($C594,Orders!$A:$A,0)),""))</f>
        <v/>
      </c>
      <c r="H594" s="5"/>
      <c r="I594" s="5"/>
      <c r="J594" s="5"/>
      <c r="K594" s="5"/>
      <c r="L594" s="5" t="str">
        <f t="shared" si="9"/>
        <v/>
      </c>
    </row>
    <row r="595" spans="1:12">
      <c r="A595" s="4"/>
      <c r="D595" t="str">
        <f>IF($C595="","",IFERROR(INDEX(Orders!$B:$B,MATCH($C595,Orders!$A:$A,0)),""))</f>
        <v/>
      </c>
      <c r="E595" t="str">
        <f>IF($C595="","",IFERROR(INDEX(Orders!$D:$D,MATCH($C595,Orders!$A:$A,0)),""))</f>
        <v/>
      </c>
      <c r="H595" s="5"/>
      <c r="I595" s="5"/>
      <c r="J595" s="5"/>
      <c r="K595" s="5"/>
      <c r="L595" s="5" t="str">
        <f t="shared" si="9"/>
        <v/>
      </c>
    </row>
    <row r="596" spans="1:12">
      <c r="A596" s="4"/>
      <c r="D596" t="str">
        <f>IF($C596="","",IFERROR(INDEX(Orders!$B:$B,MATCH($C596,Orders!$A:$A,0)),""))</f>
        <v/>
      </c>
      <c r="E596" t="str">
        <f>IF($C596="","",IFERROR(INDEX(Orders!$D:$D,MATCH($C596,Orders!$A:$A,0)),""))</f>
        <v/>
      </c>
      <c r="H596" s="5"/>
      <c r="I596" s="5"/>
      <c r="J596" s="5"/>
      <c r="K596" s="5"/>
      <c r="L596" s="5" t="str">
        <f t="shared" si="9"/>
        <v/>
      </c>
    </row>
    <row r="597" spans="1:12">
      <c r="A597" s="4"/>
      <c r="D597" t="str">
        <f>IF($C597="","",IFERROR(INDEX(Orders!$B:$B,MATCH($C597,Orders!$A:$A,0)),""))</f>
        <v/>
      </c>
      <c r="E597" t="str">
        <f>IF($C597="","",IFERROR(INDEX(Orders!$D:$D,MATCH($C597,Orders!$A:$A,0)),""))</f>
        <v/>
      </c>
      <c r="H597" s="5"/>
      <c r="I597" s="5"/>
      <c r="J597" s="5"/>
      <c r="K597" s="5"/>
      <c r="L597" s="5" t="str">
        <f t="shared" si="9"/>
        <v/>
      </c>
    </row>
    <row r="598" spans="1:12">
      <c r="A598" s="4"/>
      <c r="D598" t="str">
        <f>IF($C598="","",IFERROR(INDEX(Orders!$B:$B,MATCH($C598,Orders!$A:$A,0)),""))</f>
        <v/>
      </c>
      <c r="E598" t="str">
        <f>IF($C598="","",IFERROR(INDEX(Orders!$D:$D,MATCH($C598,Orders!$A:$A,0)),""))</f>
        <v/>
      </c>
      <c r="H598" s="5"/>
      <c r="I598" s="5"/>
      <c r="J598" s="5"/>
      <c r="K598" s="5"/>
      <c r="L598" s="5" t="str">
        <f t="shared" si="9"/>
        <v/>
      </c>
    </row>
    <row r="599" spans="1:12">
      <c r="A599" s="4"/>
      <c r="D599" t="str">
        <f>IF($C599="","",IFERROR(INDEX(Orders!$B:$B,MATCH($C599,Orders!$A:$A,0)),""))</f>
        <v/>
      </c>
      <c r="E599" t="str">
        <f>IF($C599="","",IFERROR(INDEX(Orders!$D:$D,MATCH($C599,Orders!$A:$A,0)),""))</f>
        <v/>
      </c>
      <c r="H599" s="5"/>
      <c r="I599" s="5"/>
      <c r="J599" s="5"/>
      <c r="K599" s="5"/>
      <c r="L599" s="5" t="str">
        <f t="shared" si="9"/>
        <v/>
      </c>
    </row>
    <row r="600" spans="1:12">
      <c r="A600" s="4"/>
      <c r="D600" t="str">
        <f>IF($C600="","",IFERROR(INDEX(Orders!$B:$B,MATCH($C600,Orders!$A:$A,0)),""))</f>
        <v/>
      </c>
      <c r="E600" t="str">
        <f>IF($C600="","",IFERROR(INDEX(Orders!$D:$D,MATCH($C600,Orders!$A:$A,0)),""))</f>
        <v/>
      </c>
      <c r="H600" s="5"/>
      <c r="I600" s="5"/>
      <c r="J600" s="5"/>
      <c r="K600" s="5"/>
      <c r="L600" s="5" t="str">
        <f t="shared" si="9"/>
        <v/>
      </c>
    </row>
    <row r="601" spans="1:12">
      <c r="A601" s="4"/>
      <c r="D601" t="str">
        <f>IF($C601="","",IFERROR(INDEX(Orders!$B:$B,MATCH($C601,Orders!$A:$A,0)),""))</f>
        <v/>
      </c>
      <c r="E601" t="str">
        <f>IF($C601="","",IFERROR(INDEX(Orders!$D:$D,MATCH($C601,Orders!$A:$A,0)),""))</f>
        <v/>
      </c>
      <c r="H601" s="5"/>
      <c r="I601" s="5"/>
      <c r="J601" s="5"/>
      <c r="K601" s="5"/>
      <c r="L601" s="5" t="str">
        <f t="shared" si="9"/>
        <v/>
      </c>
    </row>
    <row r="602" spans="1:12">
      <c r="A602" s="4"/>
      <c r="D602" t="str">
        <f>IF($C602="","",IFERROR(INDEX(Orders!$B:$B,MATCH($C602,Orders!$A:$A,0)),""))</f>
        <v/>
      </c>
      <c r="E602" t="str">
        <f>IF($C602="","",IFERROR(INDEX(Orders!$D:$D,MATCH($C602,Orders!$A:$A,0)),""))</f>
        <v/>
      </c>
      <c r="H602" s="5"/>
      <c r="I602" s="5"/>
      <c r="J602" s="5"/>
      <c r="K602" s="5"/>
      <c r="L602" s="5" t="str">
        <f t="shared" si="9"/>
        <v/>
      </c>
    </row>
    <row r="603" spans="1:12">
      <c r="A603" s="4"/>
      <c r="D603" t="str">
        <f>IF($C603="","",IFERROR(INDEX(Orders!$B:$B,MATCH($C603,Orders!$A:$A,0)),""))</f>
        <v/>
      </c>
      <c r="E603" t="str">
        <f>IF($C603="","",IFERROR(INDEX(Orders!$D:$D,MATCH($C603,Orders!$A:$A,0)),""))</f>
        <v/>
      </c>
      <c r="H603" s="5"/>
      <c r="I603" s="5"/>
      <c r="J603" s="5"/>
      <c r="K603" s="5"/>
      <c r="L603" s="5" t="str">
        <f t="shared" si="9"/>
        <v/>
      </c>
    </row>
    <row r="604" spans="1:12">
      <c r="A604" s="4"/>
      <c r="D604" t="str">
        <f>IF($C604="","",IFERROR(INDEX(Orders!$B:$B,MATCH($C604,Orders!$A:$A,0)),""))</f>
        <v/>
      </c>
      <c r="E604" t="str">
        <f>IF($C604="","",IFERROR(INDEX(Orders!$D:$D,MATCH($C604,Orders!$A:$A,0)),""))</f>
        <v/>
      </c>
      <c r="H604" s="5"/>
      <c r="I604" s="5"/>
      <c r="J604" s="5"/>
      <c r="K604" s="5"/>
      <c r="L604" s="5" t="str">
        <f t="shared" si="9"/>
        <v/>
      </c>
    </row>
    <row r="605" spans="1:12">
      <c r="A605" s="4"/>
      <c r="D605" t="str">
        <f>IF($C605="","",IFERROR(INDEX(Orders!$B:$B,MATCH($C605,Orders!$A:$A,0)),""))</f>
        <v/>
      </c>
      <c r="E605" t="str">
        <f>IF($C605="","",IFERROR(INDEX(Orders!$D:$D,MATCH($C605,Orders!$A:$A,0)),""))</f>
        <v/>
      </c>
      <c r="H605" s="5"/>
      <c r="I605" s="5"/>
      <c r="J605" s="5"/>
      <c r="K605" s="5"/>
      <c r="L605" s="5" t="str">
        <f t="shared" si="9"/>
        <v/>
      </c>
    </row>
    <row r="606" spans="1:12">
      <c r="A606" s="4"/>
      <c r="D606" t="str">
        <f>IF($C606="","",IFERROR(INDEX(Orders!$B:$B,MATCH($C606,Orders!$A:$A,0)),""))</f>
        <v/>
      </c>
      <c r="E606" t="str">
        <f>IF($C606="","",IFERROR(INDEX(Orders!$D:$D,MATCH($C606,Orders!$A:$A,0)),""))</f>
        <v/>
      </c>
      <c r="H606" s="5"/>
      <c r="I606" s="5"/>
      <c r="J606" s="5"/>
      <c r="K606" s="5"/>
      <c r="L606" s="5" t="str">
        <f t="shared" si="9"/>
        <v/>
      </c>
    </row>
    <row r="607" spans="1:12">
      <c r="A607" s="4"/>
      <c r="D607" t="str">
        <f>IF($C607="","",IFERROR(INDEX(Orders!$B:$B,MATCH($C607,Orders!$A:$A,0)),""))</f>
        <v/>
      </c>
      <c r="E607" t="str">
        <f>IF($C607="","",IFERROR(INDEX(Orders!$D:$D,MATCH($C607,Orders!$A:$A,0)),""))</f>
        <v/>
      </c>
      <c r="H607" s="5"/>
      <c r="I607" s="5"/>
      <c r="J607" s="5"/>
      <c r="K607" s="5"/>
      <c r="L607" s="5" t="str">
        <f t="shared" si="9"/>
        <v/>
      </c>
    </row>
    <row r="608" spans="1:12">
      <c r="A608" s="4"/>
      <c r="D608" t="str">
        <f>IF($C608="","",IFERROR(INDEX(Orders!$B:$B,MATCH($C608,Orders!$A:$A,0)),""))</f>
        <v/>
      </c>
      <c r="E608" t="str">
        <f>IF($C608="","",IFERROR(INDEX(Orders!$D:$D,MATCH($C608,Orders!$A:$A,0)),""))</f>
        <v/>
      </c>
      <c r="H608" s="5"/>
      <c r="I608" s="5"/>
      <c r="J608" s="5"/>
      <c r="K608" s="5"/>
      <c r="L608" s="5" t="str">
        <f t="shared" si="9"/>
        <v/>
      </c>
    </row>
    <row r="609" spans="1:12">
      <c r="A609" s="4"/>
      <c r="D609" t="str">
        <f>IF($C609="","",IFERROR(INDEX(Orders!$B:$B,MATCH($C609,Orders!$A:$A,0)),""))</f>
        <v/>
      </c>
      <c r="E609" t="str">
        <f>IF($C609="","",IFERROR(INDEX(Orders!$D:$D,MATCH($C609,Orders!$A:$A,0)),""))</f>
        <v/>
      </c>
      <c r="H609" s="5"/>
      <c r="I609" s="5"/>
      <c r="J609" s="5"/>
      <c r="K609" s="5"/>
      <c r="L609" s="5" t="str">
        <f t="shared" si="9"/>
        <v/>
      </c>
    </row>
    <row r="610" spans="1:12">
      <c r="A610" s="4"/>
      <c r="D610" t="str">
        <f>IF($C610="","",IFERROR(INDEX(Orders!$B:$B,MATCH($C610,Orders!$A:$A,0)),""))</f>
        <v/>
      </c>
      <c r="E610" t="str">
        <f>IF($C610="","",IFERROR(INDEX(Orders!$D:$D,MATCH($C610,Orders!$A:$A,0)),""))</f>
        <v/>
      </c>
      <c r="H610" s="5"/>
      <c r="I610" s="5"/>
      <c r="J610" s="5"/>
      <c r="K610" s="5"/>
      <c r="L610" s="5" t="str">
        <f t="shared" si="9"/>
        <v/>
      </c>
    </row>
    <row r="611" spans="1:12">
      <c r="A611" s="4"/>
      <c r="D611" t="str">
        <f>IF($C611="","",IFERROR(INDEX(Orders!$B:$B,MATCH($C611,Orders!$A:$A,0)),""))</f>
        <v/>
      </c>
      <c r="E611" t="str">
        <f>IF($C611="","",IFERROR(INDEX(Orders!$D:$D,MATCH($C611,Orders!$A:$A,0)),""))</f>
        <v/>
      </c>
      <c r="H611" s="5"/>
      <c r="I611" s="5"/>
      <c r="J611" s="5"/>
      <c r="K611" s="5"/>
      <c r="L611" s="5" t="str">
        <f t="shared" si="9"/>
        <v/>
      </c>
    </row>
    <row r="612" spans="1:12">
      <c r="A612" s="4"/>
      <c r="D612" t="str">
        <f>IF($C612="","",IFERROR(INDEX(Orders!$B:$B,MATCH($C612,Orders!$A:$A,0)),""))</f>
        <v/>
      </c>
      <c r="E612" t="str">
        <f>IF($C612="","",IFERROR(INDEX(Orders!$D:$D,MATCH($C612,Orders!$A:$A,0)),""))</f>
        <v/>
      </c>
      <c r="H612" s="5"/>
      <c r="I612" s="5"/>
      <c r="J612" s="5"/>
      <c r="K612" s="5"/>
      <c r="L612" s="5" t="str">
        <f t="shared" si="9"/>
        <v/>
      </c>
    </row>
    <row r="613" spans="1:12">
      <c r="A613" s="4"/>
      <c r="D613" t="str">
        <f>IF($C613="","",IFERROR(INDEX(Orders!$B:$B,MATCH($C613,Orders!$A:$A,0)),""))</f>
        <v/>
      </c>
      <c r="E613" t="str">
        <f>IF($C613="","",IFERROR(INDEX(Orders!$D:$D,MATCH($C613,Orders!$A:$A,0)),""))</f>
        <v/>
      </c>
      <c r="H613" s="5"/>
      <c r="I613" s="5"/>
      <c r="J613" s="5"/>
      <c r="K613" s="5"/>
      <c r="L613" s="5" t="str">
        <f t="shared" si="9"/>
        <v/>
      </c>
    </row>
    <row r="614" spans="1:12">
      <c r="A614" s="4"/>
      <c r="D614" t="str">
        <f>IF($C614="","",IFERROR(INDEX(Orders!$B:$B,MATCH($C614,Orders!$A:$A,0)),""))</f>
        <v/>
      </c>
      <c r="E614" t="str">
        <f>IF($C614="","",IFERROR(INDEX(Orders!$D:$D,MATCH($C614,Orders!$A:$A,0)),""))</f>
        <v/>
      </c>
      <c r="H614" s="5"/>
      <c r="I614" s="5"/>
      <c r="J614" s="5"/>
      <c r="K614" s="5"/>
      <c r="L614" s="5" t="str">
        <f t="shared" si="9"/>
        <v/>
      </c>
    </row>
    <row r="615" spans="1:12">
      <c r="A615" s="4"/>
      <c r="D615" t="str">
        <f>IF($C615="","",IFERROR(INDEX(Orders!$B:$B,MATCH($C615,Orders!$A:$A,0)),""))</f>
        <v/>
      </c>
      <c r="E615" t="str">
        <f>IF($C615="","",IFERROR(INDEX(Orders!$D:$D,MATCH($C615,Orders!$A:$A,0)),""))</f>
        <v/>
      </c>
      <c r="H615" s="5"/>
      <c r="I615" s="5"/>
      <c r="J615" s="5"/>
      <c r="K615" s="5"/>
      <c r="L615" s="5" t="str">
        <f t="shared" si="9"/>
        <v/>
      </c>
    </row>
    <row r="616" spans="1:12">
      <c r="A616" s="4"/>
      <c r="D616" t="str">
        <f>IF($C616="","",IFERROR(INDEX(Orders!$B:$B,MATCH($C616,Orders!$A:$A,0)),""))</f>
        <v/>
      </c>
      <c r="E616" t="str">
        <f>IF($C616="","",IFERROR(INDEX(Orders!$D:$D,MATCH($C616,Orders!$A:$A,0)),""))</f>
        <v/>
      </c>
      <c r="H616" s="5"/>
      <c r="I616" s="5"/>
      <c r="J616" s="5"/>
      <c r="K616" s="5"/>
      <c r="L616" s="5" t="str">
        <f t="shared" si="9"/>
        <v/>
      </c>
    </row>
    <row r="617" spans="1:12">
      <c r="A617" s="4"/>
      <c r="D617" t="str">
        <f>IF($C617="","",IFERROR(INDEX(Orders!$B:$B,MATCH($C617,Orders!$A:$A,0)),""))</f>
        <v/>
      </c>
      <c r="E617" t="str">
        <f>IF($C617="","",IFERROR(INDEX(Orders!$D:$D,MATCH($C617,Orders!$A:$A,0)),""))</f>
        <v/>
      </c>
      <c r="H617" s="5"/>
      <c r="I617" s="5"/>
      <c r="J617" s="5"/>
      <c r="K617" s="5"/>
      <c r="L617" s="5" t="str">
        <f t="shared" si="9"/>
        <v/>
      </c>
    </row>
    <row r="618" spans="1:12">
      <c r="A618" s="4"/>
      <c r="D618" t="str">
        <f>IF($C618="","",IFERROR(INDEX(Orders!$B:$B,MATCH($C618,Orders!$A:$A,0)),""))</f>
        <v/>
      </c>
      <c r="E618" t="str">
        <f>IF($C618="","",IFERROR(INDEX(Orders!$D:$D,MATCH($C618,Orders!$A:$A,0)),""))</f>
        <v/>
      </c>
      <c r="H618" s="5"/>
      <c r="I618" s="5"/>
      <c r="J618" s="5"/>
      <c r="K618" s="5"/>
      <c r="L618" s="5" t="str">
        <f t="shared" si="9"/>
        <v/>
      </c>
    </row>
    <row r="619" spans="1:12">
      <c r="A619" s="4"/>
      <c r="D619" t="str">
        <f>IF($C619="","",IFERROR(INDEX(Orders!$B:$B,MATCH($C619,Orders!$A:$A,0)),""))</f>
        <v/>
      </c>
      <c r="E619" t="str">
        <f>IF($C619="","",IFERROR(INDEX(Orders!$D:$D,MATCH($C619,Orders!$A:$A,0)),""))</f>
        <v/>
      </c>
      <c r="H619" s="5"/>
      <c r="I619" s="5"/>
      <c r="J619" s="5"/>
      <c r="K619" s="5"/>
      <c r="L619" s="5" t="str">
        <f t="shared" si="9"/>
        <v/>
      </c>
    </row>
    <row r="620" spans="1:12">
      <c r="A620" s="4"/>
      <c r="D620" t="str">
        <f>IF($C620="","",IFERROR(INDEX(Orders!$B:$B,MATCH($C620,Orders!$A:$A,0)),""))</f>
        <v/>
      </c>
      <c r="E620" t="str">
        <f>IF($C620="","",IFERROR(INDEX(Orders!$D:$D,MATCH($C620,Orders!$A:$A,0)),""))</f>
        <v/>
      </c>
      <c r="H620" s="5"/>
      <c r="I620" s="5"/>
      <c r="J620" s="5"/>
      <c r="K620" s="5"/>
      <c r="L620" s="5" t="str">
        <f t="shared" si="9"/>
        <v/>
      </c>
    </row>
    <row r="621" spans="1:12">
      <c r="A621" s="4"/>
      <c r="D621" t="str">
        <f>IF($C621="","",IFERROR(INDEX(Orders!$B:$B,MATCH($C621,Orders!$A:$A,0)),""))</f>
        <v/>
      </c>
      <c r="E621" t="str">
        <f>IF($C621="","",IFERROR(INDEX(Orders!$D:$D,MATCH($C621,Orders!$A:$A,0)),""))</f>
        <v/>
      </c>
      <c r="H621" s="5"/>
      <c r="I621" s="5"/>
      <c r="J621" s="5"/>
      <c r="K621" s="5"/>
      <c r="L621" s="5" t="str">
        <f t="shared" si="9"/>
        <v/>
      </c>
    </row>
    <row r="622" spans="1:12">
      <c r="A622" s="4"/>
      <c r="D622" t="str">
        <f>IF($C622="","",IFERROR(INDEX(Orders!$B:$B,MATCH($C622,Orders!$A:$A,0)),""))</f>
        <v/>
      </c>
      <c r="E622" t="str">
        <f>IF($C622="","",IFERROR(INDEX(Orders!$D:$D,MATCH($C622,Orders!$A:$A,0)),""))</f>
        <v/>
      </c>
      <c r="H622" s="5"/>
      <c r="I622" s="5"/>
      <c r="J622" s="5"/>
      <c r="K622" s="5"/>
      <c r="L622" s="5" t="str">
        <f t="shared" si="9"/>
        <v/>
      </c>
    </row>
    <row r="623" spans="1:12">
      <c r="A623" s="4"/>
      <c r="D623" t="str">
        <f>IF($C623="","",IFERROR(INDEX(Orders!$B:$B,MATCH($C623,Orders!$A:$A,0)),""))</f>
        <v/>
      </c>
      <c r="E623" t="str">
        <f>IF($C623="","",IFERROR(INDEX(Orders!$D:$D,MATCH($C623,Orders!$A:$A,0)),""))</f>
        <v/>
      </c>
      <c r="H623" s="5"/>
      <c r="I623" s="5"/>
      <c r="J623" s="5"/>
      <c r="K623" s="5"/>
      <c r="L623" s="5" t="str">
        <f t="shared" si="9"/>
        <v/>
      </c>
    </row>
    <row r="624" spans="1:12">
      <c r="A624" s="4"/>
      <c r="D624" t="str">
        <f>IF($C624="","",IFERROR(INDEX(Orders!$B:$B,MATCH($C624,Orders!$A:$A,0)),""))</f>
        <v/>
      </c>
      <c r="E624" t="str">
        <f>IF($C624="","",IFERROR(INDEX(Orders!$D:$D,MATCH($C624,Orders!$A:$A,0)),""))</f>
        <v/>
      </c>
      <c r="H624" s="5"/>
      <c r="I624" s="5"/>
      <c r="J624" s="5"/>
      <c r="K624" s="5"/>
      <c r="L624" s="5" t="str">
        <f t="shared" si="9"/>
        <v/>
      </c>
    </row>
    <row r="625" spans="1:12">
      <c r="A625" s="4"/>
      <c r="D625" t="str">
        <f>IF($C625="","",IFERROR(INDEX(Orders!$B:$B,MATCH($C625,Orders!$A:$A,0)),""))</f>
        <v/>
      </c>
      <c r="E625" t="str">
        <f>IF($C625="","",IFERROR(INDEX(Orders!$D:$D,MATCH($C625,Orders!$A:$A,0)),""))</f>
        <v/>
      </c>
      <c r="H625" s="5"/>
      <c r="I625" s="5"/>
      <c r="J625" s="5"/>
      <c r="K625" s="5"/>
      <c r="L625" s="5" t="str">
        <f t="shared" si="9"/>
        <v/>
      </c>
    </row>
    <row r="626" spans="1:12">
      <c r="A626" s="4"/>
      <c r="D626" t="str">
        <f>IF($C626="","",IFERROR(INDEX(Orders!$B:$B,MATCH($C626,Orders!$A:$A,0)),""))</f>
        <v/>
      </c>
      <c r="E626" t="str">
        <f>IF($C626="","",IFERROR(INDEX(Orders!$D:$D,MATCH($C626,Orders!$A:$A,0)),""))</f>
        <v/>
      </c>
      <c r="H626" s="5"/>
      <c r="I626" s="5"/>
      <c r="J626" s="5"/>
      <c r="K626" s="5"/>
      <c r="L626" s="5" t="str">
        <f t="shared" si="9"/>
        <v/>
      </c>
    </row>
    <row r="627" spans="1:12">
      <c r="A627" s="4"/>
      <c r="D627" t="str">
        <f>IF($C627="","",IFERROR(INDEX(Orders!$B:$B,MATCH($C627,Orders!$A:$A,0)),""))</f>
        <v/>
      </c>
      <c r="E627" t="str">
        <f>IF($C627="","",IFERROR(INDEX(Orders!$D:$D,MATCH($C627,Orders!$A:$A,0)),""))</f>
        <v/>
      </c>
      <c r="H627" s="5"/>
      <c r="I627" s="5"/>
      <c r="J627" s="5"/>
      <c r="K627" s="5"/>
      <c r="L627" s="5" t="str">
        <f t="shared" si="9"/>
        <v/>
      </c>
    </row>
    <row r="628" spans="1:12">
      <c r="A628" s="4"/>
      <c r="D628" t="str">
        <f>IF($C628="","",IFERROR(INDEX(Orders!$B:$B,MATCH($C628,Orders!$A:$A,0)),""))</f>
        <v/>
      </c>
      <c r="E628" t="str">
        <f>IF($C628="","",IFERROR(INDEX(Orders!$D:$D,MATCH($C628,Orders!$A:$A,0)),""))</f>
        <v/>
      </c>
      <c r="H628" s="5"/>
      <c r="I628" s="5"/>
      <c r="J628" s="5"/>
      <c r="K628" s="5"/>
      <c r="L628" s="5" t="str">
        <f t="shared" si="9"/>
        <v/>
      </c>
    </row>
    <row r="629" spans="1:12">
      <c r="A629" s="4"/>
      <c r="D629" t="str">
        <f>IF($C629="","",IFERROR(INDEX(Orders!$B:$B,MATCH($C629,Orders!$A:$A,0)),""))</f>
        <v/>
      </c>
      <c r="E629" t="str">
        <f>IF($C629="","",IFERROR(INDEX(Orders!$D:$D,MATCH($C629,Orders!$A:$A,0)),""))</f>
        <v/>
      </c>
      <c r="H629" s="5"/>
      <c r="I629" s="5"/>
      <c r="J629" s="5"/>
      <c r="K629" s="5"/>
      <c r="L629" s="5" t="str">
        <f t="shared" si="9"/>
        <v/>
      </c>
    </row>
    <row r="630" spans="1:12">
      <c r="A630" s="4"/>
      <c r="D630" t="str">
        <f>IF($C630="","",IFERROR(INDEX(Orders!$B:$B,MATCH($C630,Orders!$A:$A,0)),""))</f>
        <v/>
      </c>
      <c r="E630" t="str">
        <f>IF($C630="","",IFERROR(INDEX(Orders!$D:$D,MATCH($C630,Orders!$A:$A,0)),""))</f>
        <v/>
      </c>
      <c r="H630" s="5"/>
      <c r="I630" s="5"/>
      <c r="J630" s="5"/>
      <c r="K630" s="5"/>
      <c r="L630" s="5" t="str">
        <f t="shared" si="9"/>
        <v/>
      </c>
    </row>
    <row r="631" spans="1:12">
      <c r="A631" s="4"/>
      <c r="D631" t="str">
        <f>IF($C631="","",IFERROR(INDEX(Orders!$B:$B,MATCH($C631,Orders!$A:$A,0)),""))</f>
        <v/>
      </c>
      <c r="E631" t="str">
        <f>IF($C631="","",IFERROR(INDEX(Orders!$D:$D,MATCH($C631,Orders!$A:$A,0)),""))</f>
        <v/>
      </c>
      <c r="H631" s="5"/>
      <c r="I631" s="5"/>
      <c r="J631" s="5"/>
      <c r="K631" s="5"/>
      <c r="L631" s="5" t="str">
        <f t="shared" si="9"/>
        <v/>
      </c>
    </row>
    <row r="632" spans="1:12">
      <c r="A632" s="4"/>
      <c r="D632" t="str">
        <f>IF($C632="","",IFERROR(INDEX(Orders!$B:$B,MATCH($C632,Orders!$A:$A,0)),""))</f>
        <v/>
      </c>
      <c r="E632" t="str">
        <f>IF($C632="","",IFERROR(INDEX(Orders!$D:$D,MATCH($C632,Orders!$A:$A,0)),""))</f>
        <v/>
      </c>
      <c r="H632" s="5"/>
      <c r="I632" s="5"/>
      <c r="J632" s="5"/>
      <c r="K632" s="5"/>
      <c r="L632" s="5" t="str">
        <f t="shared" si="9"/>
        <v/>
      </c>
    </row>
    <row r="633" spans="1:12">
      <c r="A633" s="4"/>
      <c r="D633" t="str">
        <f>IF($C633="","",IFERROR(INDEX(Orders!$B:$B,MATCH($C633,Orders!$A:$A,0)),""))</f>
        <v/>
      </c>
      <c r="E633" t="str">
        <f>IF($C633="","",IFERROR(INDEX(Orders!$D:$D,MATCH($C633,Orders!$A:$A,0)),""))</f>
        <v/>
      </c>
      <c r="H633" s="5"/>
      <c r="I633" s="5"/>
      <c r="J633" s="5"/>
      <c r="K633" s="5"/>
      <c r="L633" s="5" t="str">
        <f t="shared" si="9"/>
        <v/>
      </c>
    </row>
    <row r="634" spans="1:12">
      <c r="A634" s="4"/>
      <c r="D634" t="str">
        <f>IF($C634="","",IFERROR(INDEX(Orders!$B:$B,MATCH($C634,Orders!$A:$A,0)),""))</f>
        <v/>
      </c>
      <c r="E634" t="str">
        <f>IF($C634="","",IFERROR(INDEX(Orders!$D:$D,MATCH($C634,Orders!$A:$A,0)),""))</f>
        <v/>
      </c>
      <c r="H634" s="5"/>
      <c r="I634" s="5"/>
      <c r="J634" s="5"/>
      <c r="K634" s="5"/>
      <c r="L634" s="5" t="str">
        <f t="shared" si="9"/>
        <v/>
      </c>
    </row>
    <row r="635" spans="1:12">
      <c r="A635" s="4"/>
      <c r="D635" t="str">
        <f>IF($C635="","",IFERROR(INDEX(Orders!$B:$B,MATCH($C635,Orders!$A:$A,0)),""))</f>
        <v/>
      </c>
      <c r="E635" t="str">
        <f>IF($C635="","",IFERROR(INDEX(Orders!$D:$D,MATCH($C635,Orders!$A:$A,0)),""))</f>
        <v/>
      </c>
      <c r="H635" s="5"/>
      <c r="I635" s="5"/>
      <c r="J635" s="5"/>
      <c r="K635" s="5"/>
      <c r="L635" s="5" t="str">
        <f t="shared" si="9"/>
        <v/>
      </c>
    </row>
    <row r="636" spans="1:12">
      <c r="A636" s="4"/>
      <c r="D636" t="str">
        <f>IF($C636="","",IFERROR(INDEX(Orders!$B:$B,MATCH($C636,Orders!$A:$A,0)),""))</f>
        <v/>
      </c>
      <c r="E636" t="str">
        <f>IF($C636="","",IFERROR(INDEX(Orders!$D:$D,MATCH($C636,Orders!$A:$A,0)),""))</f>
        <v/>
      </c>
      <c r="H636" s="5"/>
      <c r="I636" s="5"/>
      <c r="J636" s="5"/>
      <c r="K636" s="5"/>
      <c r="L636" s="5" t="str">
        <f t="shared" si="9"/>
        <v/>
      </c>
    </row>
    <row r="637" spans="1:12">
      <c r="A637" s="4"/>
      <c r="D637" t="str">
        <f>IF($C637="","",IFERROR(INDEX(Orders!$B:$B,MATCH($C637,Orders!$A:$A,0)),""))</f>
        <v/>
      </c>
      <c r="E637" t="str">
        <f>IF($C637="","",IFERROR(INDEX(Orders!$D:$D,MATCH($C637,Orders!$A:$A,0)),""))</f>
        <v/>
      </c>
      <c r="H637" s="5"/>
      <c r="I637" s="5"/>
      <c r="J637" s="5"/>
      <c r="K637" s="5"/>
      <c r="L637" s="5" t="str">
        <f t="shared" si="9"/>
        <v/>
      </c>
    </row>
    <row r="638" spans="1:12">
      <c r="A638" s="4"/>
      <c r="D638" t="str">
        <f>IF($C638="","",IFERROR(INDEX(Orders!$B:$B,MATCH($C638,Orders!$A:$A,0)),""))</f>
        <v/>
      </c>
      <c r="E638" t="str">
        <f>IF($C638="","",IFERROR(INDEX(Orders!$D:$D,MATCH($C638,Orders!$A:$A,0)),""))</f>
        <v/>
      </c>
      <c r="H638" s="5"/>
      <c r="I638" s="5"/>
      <c r="J638" s="5"/>
      <c r="K638" s="5"/>
      <c r="L638" s="5" t="str">
        <f t="shared" si="9"/>
        <v/>
      </c>
    </row>
    <row r="639" spans="1:12">
      <c r="A639" s="4"/>
      <c r="D639" t="str">
        <f>IF($C639="","",IFERROR(INDEX(Orders!$B:$B,MATCH($C639,Orders!$A:$A,0)),""))</f>
        <v/>
      </c>
      <c r="E639" t="str">
        <f>IF($C639="","",IFERROR(INDEX(Orders!$D:$D,MATCH($C639,Orders!$A:$A,0)),""))</f>
        <v/>
      </c>
      <c r="H639" s="5"/>
      <c r="I639" s="5"/>
      <c r="J639" s="5"/>
      <c r="K639" s="5"/>
      <c r="L639" s="5" t="str">
        <f t="shared" si="9"/>
        <v/>
      </c>
    </row>
    <row r="640" spans="1:12">
      <c r="A640" s="4"/>
      <c r="D640" t="str">
        <f>IF($C640="","",IFERROR(INDEX(Orders!$B:$B,MATCH($C640,Orders!$A:$A,0)),""))</f>
        <v/>
      </c>
      <c r="E640" t="str">
        <f>IF($C640="","",IFERROR(INDEX(Orders!$D:$D,MATCH($C640,Orders!$A:$A,0)),""))</f>
        <v/>
      </c>
      <c r="H640" s="5"/>
      <c r="I640" s="5"/>
      <c r="J640" s="5"/>
      <c r="K640" s="5"/>
      <c r="L640" s="5" t="str">
        <f t="shared" si="9"/>
        <v/>
      </c>
    </row>
    <row r="641" spans="1:12">
      <c r="A641" s="4"/>
      <c r="D641" t="str">
        <f>IF($C641="","",IFERROR(INDEX(Orders!$B:$B,MATCH($C641,Orders!$A:$A,0)),""))</f>
        <v/>
      </c>
      <c r="E641" t="str">
        <f>IF($C641="","",IFERROR(INDEX(Orders!$D:$D,MATCH($C641,Orders!$A:$A,0)),""))</f>
        <v/>
      </c>
      <c r="H641" s="5"/>
      <c r="I641" s="5"/>
      <c r="J641" s="5"/>
      <c r="K641" s="5"/>
      <c r="L641" s="5" t="str">
        <f t="shared" si="9"/>
        <v/>
      </c>
    </row>
    <row r="642" spans="1:12">
      <c r="A642" s="4"/>
      <c r="D642" t="str">
        <f>IF($C642="","",IFERROR(INDEX(Orders!$B:$B,MATCH($C642,Orders!$A:$A,0)),""))</f>
        <v/>
      </c>
      <c r="E642" t="str">
        <f>IF($C642="","",IFERROR(INDEX(Orders!$D:$D,MATCH($C642,Orders!$A:$A,0)),""))</f>
        <v/>
      </c>
      <c r="H642" s="5"/>
      <c r="I642" s="5"/>
      <c r="J642" s="5"/>
      <c r="K642" s="5"/>
      <c r="L642" s="5" t="str">
        <f t="shared" ref="L642:L705" si="10">IF($C642="","",$H642-$I642-$K642)</f>
        <v/>
      </c>
    </row>
    <row r="643" spans="1:12">
      <c r="A643" s="4"/>
      <c r="D643" t="str">
        <f>IF($C643="","",IFERROR(INDEX(Orders!$B:$B,MATCH($C643,Orders!$A:$A,0)),""))</f>
        <v/>
      </c>
      <c r="E643" t="str">
        <f>IF($C643="","",IFERROR(INDEX(Orders!$D:$D,MATCH($C643,Orders!$A:$A,0)),""))</f>
        <v/>
      </c>
      <c r="H643" s="5"/>
      <c r="I643" s="5"/>
      <c r="J643" s="5"/>
      <c r="K643" s="5"/>
      <c r="L643" s="5" t="str">
        <f t="shared" si="10"/>
        <v/>
      </c>
    </row>
    <row r="644" spans="1:12">
      <c r="A644" s="4"/>
      <c r="D644" t="str">
        <f>IF($C644="","",IFERROR(INDEX(Orders!$B:$B,MATCH($C644,Orders!$A:$A,0)),""))</f>
        <v/>
      </c>
      <c r="E644" t="str">
        <f>IF($C644="","",IFERROR(INDEX(Orders!$D:$D,MATCH($C644,Orders!$A:$A,0)),""))</f>
        <v/>
      </c>
      <c r="H644" s="5"/>
      <c r="I644" s="5"/>
      <c r="J644" s="5"/>
      <c r="K644" s="5"/>
      <c r="L644" s="5" t="str">
        <f t="shared" si="10"/>
        <v/>
      </c>
    </row>
    <row r="645" spans="1:12">
      <c r="A645" s="4"/>
      <c r="D645" t="str">
        <f>IF($C645="","",IFERROR(INDEX(Orders!$B:$B,MATCH($C645,Orders!$A:$A,0)),""))</f>
        <v/>
      </c>
      <c r="E645" t="str">
        <f>IF($C645="","",IFERROR(INDEX(Orders!$D:$D,MATCH($C645,Orders!$A:$A,0)),""))</f>
        <v/>
      </c>
      <c r="H645" s="5"/>
      <c r="I645" s="5"/>
      <c r="J645" s="5"/>
      <c r="K645" s="5"/>
      <c r="L645" s="5" t="str">
        <f t="shared" si="10"/>
        <v/>
      </c>
    </row>
    <row r="646" spans="1:12">
      <c r="A646" s="4"/>
      <c r="D646" t="str">
        <f>IF($C646="","",IFERROR(INDEX(Orders!$B:$B,MATCH($C646,Orders!$A:$A,0)),""))</f>
        <v/>
      </c>
      <c r="E646" t="str">
        <f>IF($C646="","",IFERROR(INDEX(Orders!$D:$D,MATCH($C646,Orders!$A:$A,0)),""))</f>
        <v/>
      </c>
      <c r="H646" s="5"/>
      <c r="I646" s="5"/>
      <c r="J646" s="5"/>
      <c r="K646" s="5"/>
      <c r="L646" s="5" t="str">
        <f t="shared" si="10"/>
        <v/>
      </c>
    </row>
    <row r="647" spans="1:12">
      <c r="A647" s="4"/>
      <c r="D647" t="str">
        <f>IF($C647="","",IFERROR(INDEX(Orders!$B:$B,MATCH($C647,Orders!$A:$A,0)),""))</f>
        <v/>
      </c>
      <c r="E647" t="str">
        <f>IF($C647="","",IFERROR(INDEX(Orders!$D:$D,MATCH($C647,Orders!$A:$A,0)),""))</f>
        <v/>
      </c>
      <c r="H647" s="5"/>
      <c r="I647" s="5"/>
      <c r="J647" s="5"/>
      <c r="K647" s="5"/>
      <c r="L647" s="5" t="str">
        <f t="shared" si="10"/>
        <v/>
      </c>
    </row>
    <row r="648" spans="1:12">
      <c r="A648" s="4"/>
      <c r="D648" t="str">
        <f>IF($C648="","",IFERROR(INDEX(Orders!$B:$B,MATCH($C648,Orders!$A:$A,0)),""))</f>
        <v/>
      </c>
      <c r="E648" t="str">
        <f>IF($C648="","",IFERROR(INDEX(Orders!$D:$D,MATCH($C648,Orders!$A:$A,0)),""))</f>
        <v/>
      </c>
      <c r="H648" s="5"/>
      <c r="I648" s="5"/>
      <c r="J648" s="5"/>
      <c r="K648" s="5"/>
      <c r="L648" s="5" t="str">
        <f t="shared" si="10"/>
        <v/>
      </c>
    </row>
    <row r="649" spans="1:12">
      <c r="A649" s="4"/>
      <c r="D649" t="str">
        <f>IF($C649="","",IFERROR(INDEX(Orders!$B:$B,MATCH($C649,Orders!$A:$A,0)),""))</f>
        <v/>
      </c>
      <c r="E649" t="str">
        <f>IF($C649="","",IFERROR(INDEX(Orders!$D:$D,MATCH($C649,Orders!$A:$A,0)),""))</f>
        <v/>
      </c>
      <c r="H649" s="5"/>
      <c r="I649" s="5"/>
      <c r="J649" s="5"/>
      <c r="K649" s="5"/>
      <c r="L649" s="5" t="str">
        <f t="shared" si="10"/>
        <v/>
      </c>
    </row>
    <row r="650" spans="1:12">
      <c r="A650" s="4"/>
      <c r="D650" t="str">
        <f>IF($C650="","",IFERROR(INDEX(Orders!$B:$B,MATCH($C650,Orders!$A:$A,0)),""))</f>
        <v/>
      </c>
      <c r="E650" t="str">
        <f>IF($C650="","",IFERROR(INDEX(Orders!$D:$D,MATCH($C650,Orders!$A:$A,0)),""))</f>
        <v/>
      </c>
      <c r="H650" s="5"/>
      <c r="I650" s="5"/>
      <c r="J650" s="5"/>
      <c r="K650" s="5"/>
      <c r="L650" s="5" t="str">
        <f t="shared" si="10"/>
        <v/>
      </c>
    </row>
    <row r="651" spans="1:12">
      <c r="A651" s="4"/>
      <c r="D651" t="str">
        <f>IF($C651="","",IFERROR(INDEX(Orders!$B:$B,MATCH($C651,Orders!$A:$A,0)),""))</f>
        <v/>
      </c>
      <c r="E651" t="str">
        <f>IF($C651="","",IFERROR(INDEX(Orders!$D:$D,MATCH($C651,Orders!$A:$A,0)),""))</f>
        <v/>
      </c>
      <c r="H651" s="5"/>
      <c r="I651" s="5"/>
      <c r="J651" s="5"/>
      <c r="K651" s="5"/>
      <c r="L651" s="5" t="str">
        <f t="shared" si="10"/>
        <v/>
      </c>
    </row>
    <row r="652" spans="1:12">
      <c r="A652" s="4"/>
      <c r="D652" t="str">
        <f>IF($C652="","",IFERROR(INDEX(Orders!$B:$B,MATCH($C652,Orders!$A:$A,0)),""))</f>
        <v/>
      </c>
      <c r="E652" t="str">
        <f>IF($C652="","",IFERROR(INDEX(Orders!$D:$D,MATCH($C652,Orders!$A:$A,0)),""))</f>
        <v/>
      </c>
      <c r="H652" s="5"/>
      <c r="I652" s="5"/>
      <c r="J652" s="5"/>
      <c r="K652" s="5"/>
      <c r="L652" s="5" t="str">
        <f t="shared" si="10"/>
        <v/>
      </c>
    </row>
    <row r="653" spans="1:12">
      <c r="A653" s="4"/>
      <c r="D653" t="str">
        <f>IF($C653="","",IFERROR(INDEX(Orders!$B:$B,MATCH($C653,Orders!$A:$A,0)),""))</f>
        <v/>
      </c>
      <c r="E653" t="str">
        <f>IF($C653="","",IFERROR(INDEX(Orders!$D:$D,MATCH($C653,Orders!$A:$A,0)),""))</f>
        <v/>
      </c>
      <c r="H653" s="5"/>
      <c r="I653" s="5"/>
      <c r="J653" s="5"/>
      <c r="K653" s="5"/>
      <c r="L653" s="5" t="str">
        <f t="shared" si="10"/>
        <v/>
      </c>
    </row>
    <row r="654" spans="1:12">
      <c r="A654" s="4"/>
      <c r="D654" t="str">
        <f>IF($C654="","",IFERROR(INDEX(Orders!$B:$B,MATCH($C654,Orders!$A:$A,0)),""))</f>
        <v/>
      </c>
      <c r="E654" t="str">
        <f>IF($C654="","",IFERROR(INDEX(Orders!$D:$D,MATCH($C654,Orders!$A:$A,0)),""))</f>
        <v/>
      </c>
      <c r="H654" s="5"/>
      <c r="I654" s="5"/>
      <c r="J654" s="5"/>
      <c r="K654" s="5"/>
      <c r="L654" s="5" t="str">
        <f t="shared" si="10"/>
        <v/>
      </c>
    </row>
    <row r="655" spans="1:12">
      <c r="A655" s="4"/>
      <c r="D655" t="str">
        <f>IF($C655="","",IFERROR(INDEX(Orders!$B:$B,MATCH($C655,Orders!$A:$A,0)),""))</f>
        <v/>
      </c>
      <c r="E655" t="str">
        <f>IF($C655="","",IFERROR(INDEX(Orders!$D:$D,MATCH($C655,Orders!$A:$A,0)),""))</f>
        <v/>
      </c>
      <c r="H655" s="5"/>
      <c r="I655" s="5"/>
      <c r="J655" s="5"/>
      <c r="K655" s="5"/>
      <c r="L655" s="5" t="str">
        <f t="shared" si="10"/>
        <v/>
      </c>
    </row>
    <row r="656" spans="1:12">
      <c r="A656" s="4"/>
      <c r="D656" t="str">
        <f>IF($C656="","",IFERROR(INDEX(Orders!$B:$B,MATCH($C656,Orders!$A:$A,0)),""))</f>
        <v/>
      </c>
      <c r="E656" t="str">
        <f>IF($C656="","",IFERROR(INDEX(Orders!$D:$D,MATCH($C656,Orders!$A:$A,0)),""))</f>
        <v/>
      </c>
      <c r="H656" s="5"/>
      <c r="I656" s="5"/>
      <c r="J656" s="5"/>
      <c r="K656" s="5"/>
      <c r="L656" s="5" t="str">
        <f t="shared" si="10"/>
        <v/>
      </c>
    </row>
    <row r="657" spans="1:12">
      <c r="A657" s="4"/>
      <c r="D657" t="str">
        <f>IF($C657="","",IFERROR(INDEX(Orders!$B:$B,MATCH($C657,Orders!$A:$A,0)),""))</f>
        <v/>
      </c>
      <c r="E657" t="str">
        <f>IF($C657="","",IFERROR(INDEX(Orders!$D:$D,MATCH($C657,Orders!$A:$A,0)),""))</f>
        <v/>
      </c>
      <c r="H657" s="5"/>
      <c r="I657" s="5"/>
      <c r="J657" s="5"/>
      <c r="K657" s="5"/>
      <c r="L657" s="5" t="str">
        <f t="shared" si="10"/>
        <v/>
      </c>
    </row>
    <row r="658" spans="1:12">
      <c r="A658" s="4"/>
      <c r="D658" t="str">
        <f>IF($C658="","",IFERROR(INDEX(Orders!$B:$B,MATCH($C658,Orders!$A:$A,0)),""))</f>
        <v/>
      </c>
      <c r="E658" t="str">
        <f>IF($C658="","",IFERROR(INDEX(Orders!$D:$D,MATCH($C658,Orders!$A:$A,0)),""))</f>
        <v/>
      </c>
      <c r="H658" s="5"/>
      <c r="I658" s="5"/>
      <c r="J658" s="5"/>
      <c r="K658" s="5"/>
      <c r="L658" s="5" t="str">
        <f t="shared" si="10"/>
        <v/>
      </c>
    </row>
    <row r="659" spans="1:12">
      <c r="A659" s="4"/>
      <c r="D659" t="str">
        <f>IF($C659="","",IFERROR(INDEX(Orders!$B:$B,MATCH($C659,Orders!$A:$A,0)),""))</f>
        <v/>
      </c>
      <c r="E659" t="str">
        <f>IF($C659="","",IFERROR(INDEX(Orders!$D:$D,MATCH($C659,Orders!$A:$A,0)),""))</f>
        <v/>
      </c>
      <c r="H659" s="5"/>
      <c r="I659" s="5"/>
      <c r="J659" s="5"/>
      <c r="K659" s="5"/>
      <c r="L659" s="5" t="str">
        <f t="shared" si="10"/>
        <v/>
      </c>
    </row>
    <row r="660" spans="1:12">
      <c r="A660" s="4"/>
      <c r="D660" t="str">
        <f>IF($C660="","",IFERROR(INDEX(Orders!$B:$B,MATCH($C660,Orders!$A:$A,0)),""))</f>
        <v/>
      </c>
      <c r="E660" t="str">
        <f>IF($C660="","",IFERROR(INDEX(Orders!$D:$D,MATCH($C660,Orders!$A:$A,0)),""))</f>
        <v/>
      </c>
      <c r="H660" s="5"/>
      <c r="I660" s="5"/>
      <c r="J660" s="5"/>
      <c r="K660" s="5"/>
      <c r="L660" s="5" t="str">
        <f t="shared" si="10"/>
        <v/>
      </c>
    </row>
    <row r="661" spans="1:12">
      <c r="A661" s="4"/>
      <c r="D661" t="str">
        <f>IF($C661="","",IFERROR(INDEX(Orders!$B:$B,MATCH($C661,Orders!$A:$A,0)),""))</f>
        <v/>
      </c>
      <c r="E661" t="str">
        <f>IF($C661="","",IFERROR(INDEX(Orders!$D:$D,MATCH($C661,Orders!$A:$A,0)),""))</f>
        <v/>
      </c>
      <c r="H661" s="5"/>
      <c r="I661" s="5"/>
      <c r="J661" s="5"/>
      <c r="K661" s="5"/>
      <c r="L661" s="5" t="str">
        <f t="shared" si="10"/>
        <v/>
      </c>
    </row>
    <row r="662" spans="1:12">
      <c r="A662" s="4"/>
      <c r="D662" t="str">
        <f>IF($C662="","",IFERROR(INDEX(Orders!$B:$B,MATCH($C662,Orders!$A:$A,0)),""))</f>
        <v/>
      </c>
      <c r="E662" t="str">
        <f>IF($C662="","",IFERROR(INDEX(Orders!$D:$D,MATCH($C662,Orders!$A:$A,0)),""))</f>
        <v/>
      </c>
      <c r="H662" s="5"/>
      <c r="I662" s="5"/>
      <c r="J662" s="5"/>
      <c r="K662" s="5"/>
      <c r="L662" s="5" t="str">
        <f t="shared" si="10"/>
        <v/>
      </c>
    </row>
    <row r="663" spans="1:12">
      <c r="A663" s="4"/>
      <c r="D663" t="str">
        <f>IF($C663="","",IFERROR(INDEX(Orders!$B:$B,MATCH($C663,Orders!$A:$A,0)),""))</f>
        <v/>
      </c>
      <c r="E663" t="str">
        <f>IF($C663="","",IFERROR(INDEX(Orders!$D:$D,MATCH($C663,Orders!$A:$A,0)),""))</f>
        <v/>
      </c>
      <c r="H663" s="5"/>
      <c r="I663" s="5"/>
      <c r="J663" s="5"/>
      <c r="K663" s="5"/>
      <c r="L663" s="5" t="str">
        <f t="shared" si="10"/>
        <v/>
      </c>
    </row>
    <row r="664" spans="1:12">
      <c r="A664" s="4"/>
      <c r="D664" t="str">
        <f>IF($C664="","",IFERROR(INDEX(Orders!$B:$B,MATCH($C664,Orders!$A:$A,0)),""))</f>
        <v/>
      </c>
      <c r="E664" t="str">
        <f>IF($C664="","",IFERROR(INDEX(Orders!$D:$D,MATCH($C664,Orders!$A:$A,0)),""))</f>
        <v/>
      </c>
      <c r="H664" s="5"/>
      <c r="I664" s="5"/>
      <c r="J664" s="5"/>
      <c r="K664" s="5"/>
      <c r="L664" s="5" t="str">
        <f t="shared" si="10"/>
        <v/>
      </c>
    </row>
    <row r="665" spans="1:12">
      <c r="A665" s="4"/>
      <c r="D665" t="str">
        <f>IF($C665="","",IFERROR(INDEX(Orders!$B:$B,MATCH($C665,Orders!$A:$A,0)),""))</f>
        <v/>
      </c>
      <c r="E665" t="str">
        <f>IF($C665="","",IFERROR(INDEX(Orders!$D:$D,MATCH($C665,Orders!$A:$A,0)),""))</f>
        <v/>
      </c>
      <c r="H665" s="5"/>
      <c r="I665" s="5"/>
      <c r="J665" s="5"/>
      <c r="K665" s="5"/>
      <c r="L665" s="5" t="str">
        <f t="shared" si="10"/>
        <v/>
      </c>
    </row>
    <row r="666" spans="1:12">
      <c r="A666" s="4"/>
      <c r="D666" t="str">
        <f>IF($C666="","",IFERROR(INDEX(Orders!$B:$B,MATCH($C666,Orders!$A:$A,0)),""))</f>
        <v/>
      </c>
      <c r="E666" t="str">
        <f>IF($C666="","",IFERROR(INDEX(Orders!$D:$D,MATCH($C666,Orders!$A:$A,0)),""))</f>
        <v/>
      </c>
      <c r="H666" s="5"/>
      <c r="I666" s="5"/>
      <c r="J666" s="5"/>
      <c r="K666" s="5"/>
      <c r="L666" s="5" t="str">
        <f t="shared" si="10"/>
        <v/>
      </c>
    </row>
    <row r="667" spans="1:12">
      <c r="A667" s="4"/>
      <c r="D667" t="str">
        <f>IF($C667="","",IFERROR(INDEX(Orders!$B:$B,MATCH($C667,Orders!$A:$A,0)),""))</f>
        <v/>
      </c>
      <c r="E667" t="str">
        <f>IF($C667="","",IFERROR(INDEX(Orders!$D:$D,MATCH($C667,Orders!$A:$A,0)),""))</f>
        <v/>
      </c>
      <c r="H667" s="5"/>
      <c r="I667" s="5"/>
      <c r="J667" s="5"/>
      <c r="K667" s="5"/>
      <c r="L667" s="5" t="str">
        <f t="shared" si="10"/>
        <v/>
      </c>
    </row>
    <row r="668" spans="1:12">
      <c r="A668" s="4"/>
      <c r="D668" t="str">
        <f>IF($C668="","",IFERROR(INDEX(Orders!$B:$B,MATCH($C668,Orders!$A:$A,0)),""))</f>
        <v/>
      </c>
      <c r="E668" t="str">
        <f>IF($C668="","",IFERROR(INDEX(Orders!$D:$D,MATCH($C668,Orders!$A:$A,0)),""))</f>
        <v/>
      </c>
      <c r="H668" s="5"/>
      <c r="I668" s="5"/>
      <c r="J668" s="5"/>
      <c r="K668" s="5"/>
      <c r="L668" s="5" t="str">
        <f t="shared" si="10"/>
        <v/>
      </c>
    </row>
    <row r="669" spans="1:12">
      <c r="A669" s="4"/>
      <c r="D669" t="str">
        <f>IF($C669="","",IFERROR(INDEX(Orders!$B:$B,MATCH($C669,Orders!$A:$A,0)),""))</f>
        <v/>
      </c>
      <c r="E669" t="str">
        <f>IF($C669="","",IFERROR(INDEX(Orders!$D:$D,MATCH($C669,Orders!$A:$A,0)),""))</f>
        <v/>
      </c>
      <c r="H669" s="5"/>
      <c r="I669" s="5"/>
      <c r="J669" s="5"/>
      <c r="K669" s="5"/>
      <c r="L669" s="5" t="str">
        <f t="shared" si="10"/>
        <v/>
      </c>
    </row>
    <row r="670" spans="1:12">
      <c r="A670" s="4"/>
      <c r="D670" t="str">
        <f>IF($C670="","",IFERROR(INDEX(Orders!$B:$B,MATCH($C670,Orders!$A:$A,0)),""))</f>
        <v/>
      </c>
      <c r="E670" t="str">
        <f>IF($C670="","",IFERROR(INDEX(Orders!$D:$D,MATCH($C670,Orders!$A:$A,0)),""))</f>
        <v/>
      </c>
      <c r="H670" s="5"/>
      <c r="I670" s="5"/>
      <c r="J670" s="5"/>
      <c r="K670" s="5"/>
      <c r="L670" s="5" t="str">
        <f t="shared" si="10"/>
        <v/>
      </c>
    </row>
    <row r="671" spans="1:12">
      <c r="A671" s="4"/>
      <c r="D671" t="str">
        <f>IF($C671="","",IFERROR(INDEX(Orders!$B:$B,MATCH($C671,Orders!$A:$A,0)),""))</f>
        <v/>
      </c>
      <c r="E671" t="str">
        <f>IF($C671="","",IFERROR(INDEX(Orders!$D:$D,MATCH($C671,Orders!$A:$A,0)),""))</f>
        <v/>
      </c>
      <c r="H671" s="5"/>
      <c r="I671" s="5"/>
      <c r="J671" s="5"/>
      <c r="K671" s="5"/>
      <c r="L671" s="5" t="str">
        <f t="shared" si="10"/>
        <v/>
      </c>
    </row>
    <row r="672" spans="1:12">
      <c r="A672" s="4"/>
      <c r="D672" t="str">
        <f>IF($C672="","",IFERROR(INDEX(Orders!$B:$B,MATCH($C672,Orders!$A:$A,0)),""))</f>
        <v/>
      </c>
      <c r="E672" t="str">
        <f>IF($C672="","",IFERROR(INDEX(Orders!$D:$D,MATCH($C672,Orders!$A:$A,0)),""))</f>
        <v/>
      </c>
      <c r="H672" s="5"/>
      <c r="I672" s="5"/>
      <c r="J672" s="5"/>
      <c r="K672" s="5"/>
      <c r="L672" s="5" t="str">
        <f t="shared" si="10"/>
        <v/>
      </c>
    </row>
    <row r="673" spans="1:12">
      <c r="A673" s="4"/>
      <c r="D673" t="str">
        <f>IF($C673="","",IFERROR(INDEX(Orders!$B:$B,MATCH($C673,Orders!$A:$A,0)),""))</f>
        <v/>
      </c>
      <c r="E673" t="str">
        <f>IF($C673="","",IFERROR(INDEX(Orders!$D:$D,MATCH($C673,Orders!$A:$A,0)),""))</f>
        <v/>
      </c>
      <c r="H673" s="5"/>
      <c r="I673" s="5"/>
      <c r="J673" s="5"/>
      <c r="K673" s="5"/>
      <c r="L673" s="5" t="str">
        <f t="shared" si="10"/>
        <v/>
      </c>
    </row>
    <row r="674" spans="1:12">
      <c r="A674" s="4"/>
      <c r="D674" t="str">
        <f>IF($C674="","",IFERROR(INDEX(Orders!$B:$B,MATCH($C674,Orders!$A:$A,0)),""))</f>
        <v/>
      </c>
      <c r="E674" t="str">
        <f>IF($C674="","",IFERROR(INDEX(Orders!$D:$D,MATCH($C674,Orders!$A:$A,0)),""))</f>
        <v/>
      </c>
      <c r="H674" s="5"/>
      <c r="I674" s="5"/>
      <c r="J674" s="5"/>
      <c r="K674" s="5"/>
      <c r="L674" s="5" t="str">
        <f t="shared" si="10"/>
        <v/>
      </c>
    </row>
    <row r="675" spans="1:12">
      <c r="A675" s="4"/>
      <c r="D675" t="str">
        <f>IF($C675="","",IFERROR(INDEX(Orders!$B:$B,MATCH($C675,Orders!$A:$A,0)),""))</f>
        <v/>
      </c>
      <c r="E675" t="str">
        <f>IF($C675="","",IFERROR(INDEX(Orders!$D:$D,MATCH($C675,Orders!$A:$A,0)),""))</f>
        <v/>
      </c>
      <c r="H675" s="5"/>
      <c r="I675" s="5"/>
      <c r="J675" s="5"/>
      <c r="K675" s="5"/>
      <c r="L675" s="5" t="str">
        <f t="shared" si="10"/>
        <v/>
      </c>
    </row>
    <row r="676" spans="1:12">
      <c r="A676" s="4"/>
      <c r="D676" t="str">
        <f>IF($C676="","",IFERROR(INDEX(Orders!$B:$B,MATCH($C676,Orders!$A:$A,0)),""))</f>
        <v/>
      </c>
      <c r="E676" t="str">
        <f>IF($C676="","",IFERROR(INDEX(Orders!$D:$D,MATCH($C676,Orders!$A:$A,0)),""))</f>
        <v/>
      </c>
      <c r="H676" s="5"/>
      <c r="I676" s="5"/>
      <c r="J676" s="5"/>
      <c r="K676" s="5"/>
      <c r="L676" s="5" t="str">
        <f t="shared" si="10"/>
        <v/>
      </c>
    </row>
    <row r="677" spans="1:12">
      <c r="A677" s="4"/>
      <c r="D677" t="str">
        <f>IF($C677="","",IFERROR(INDEX(Orders!$B:$B,MATCH($C677,Orders!$A:$A,0)),""))</f>
        <v/>
      </c>
      <c r="E677" t="str">
        <f>IF($C677="","",IFERROR(INDEX(Orders!$D:$D,MATCH($C677,Orders!$A:$A,0)),""))</f>
        <v/>
      </c>
      <c r="H677" s="5"/>
      <c r="I677" s="5"/>
      <c r="J677" s="5"/>
      <c r="K677" s="5"/>
      <c r="L677" s="5" t="str">
        <f t="shared" si="10"/>
        <v/>
      </c>
    </row>
    <row r="678" spans="1:12">
      <c r="A678" s="4"/>
      <c r="D678" t="str">
        <f>IF($C678="","",IFERROR(INDEX(Orders!$B:$B,MATCH($C678,Orders!$A:$A,0)),""))</f>
        <v/>
      </c>
      <c r="E678" t="str">
        <f>IF($C678="","",IFERROR(INDEX(Orders!$D:$D,MATCH($C678,Orders!$A:$A,0)),""))</f>
        <v/>
      </c>
      <c r="H678" s="5"/>
      <c r="I678" s="5"/>
      <c r="J678" s="5"/>
      <c r="K678" s="5"/>
      <c r="L678" s="5" t="str">
        <f t="shared" si="10"/>
        <v/>
      </c>
    </row>
    <row r="679" spans="1:12">
      <c r="A679" s="4"/>
      <c r="D679" t="str">
        <f>IF($C679="","",IFERROR(INDEX(Orders!$B:$B,MATCH($C679,Orders!$A:$A,0)),""))</f>
        <v/>
      </c>
      <c r="E679" t="str">
        <f>IF($C679="","",IFERROR(INDEX(Orders!$D:$D,MATCH($C679,Orders!$A:$A,0)),""))</f>
        <v/>
      </c>
      <c r="H679" s="5"/>
      <c r="I679" s="5"/>
      <c r="J679" s="5"/>
      <c r="K679" s="5"/>
      <c r="L679" s="5" t="str">
        <f t="shared" si="10"/>
        <v/>
      </c>
    </row>
    <row r="680" spans="1:12">
      <c r="A680" s="4"/>
      <c r="D680" t="str">
        <f>IF($C680="","",IFERROR(INDEX(Orders!$B:$B,MATCH($C680,Orders!$A:$A,0)),""))</f>
        <v/>
      </c>
      <c r="E680" t="str">
        <f>IF($C680="","",IFERROR(INDEX(Orders!$D:$D,MATCH($C680,Orders!$A:$A,0)),""))</f>
        <v/>
      </c>
      <c r="H680" s="5"/>
      <c r="I680" s="5"/>
      <c r="J680" s="5"/>
      <c r="K680" s="5"/>
      <c r="L680" s="5" t="str">
        <f t="shared" si="10"/>
        <v/>
      </c>
    </row>
    <row r="681" spans="1:12">
      <c r="A681" s="4"/>
      <c r="D681" t="str">
        <f>IF($C681="","",IFERROR(INDEX(Orders!$B:$B,MATCH($C681,Orders!$A:$A,0)),""))</f>
        <v/>
      </c>
      <c r="E681" t="str">
        <f>IF($C681="","",IFERROR(INDEX(Orders!$D:$D,MATCH($C681,Orders!$A:$A,0)),""))</f>
        <v/>
      </c>
      <c r="H681" s="5"/>
      <c r="I681" s="5"/>
      <c r="J681" s="5"/>
      <c r="K681" s="5"/>
      <c r="L681" s="5" t="str">
        <f t="shared" si="10"/>
        <v/>
      </c>
    </row>
    <row r="682" spans="1:12">
      <c r="A682" s="4"/>
      <c r="D682" t="str">
        <f>IF($C682="","",IFERROR(INDEX(Orders!$B:$B,MATCH($C682,Orders!$A:$A,0)),""))</f>
        <v/>
      </c>
      <c r="E682" t="str">
        <f>IF($C682="","",IFERROR(INDEX(Orders!$D:$D,MATCH($C682,Orders!$A:$A,0)),""))</f>
        <v/>
      </c>
      <c r="H682" s="5"/>
      <c r="I682" s="5"/>
      <c r="J682" s="5"/>
      <c r="K682" s="5"/>
      <c r="L682" s="5" t="str">
        <f t="shared" si="10"/>
        <v/>
      </c>
    </row>
    <row r="683" spans="1:12">
      <c r="A683" s="4"/>
      <c r="D683" t="str">
        <f>IF($C683="","",IFERROR(INDEX(Orders!$B:$B,MATCH($C683,Orders!$A:$A,0)),""))</f>
        <v/>
      </c>
      <c r="E683" t="str">
        <f>IF($C683="","",IFERROR(INDEX(Orders!$D:$D,MATCH($C683,Orders!$A:$A,0)),""))</f>
        <v/>
      </c>
      <c r="H683" s="5"/>
      <c r="I683" s="5"/>
      <c r="J683" s="5"/>
      <c r="K683" s="5"/>
      <c r="L683" s="5" t="str">
        <f t="shared" si="10"/>
        <v/>
      </c>
    </row>
    <row r="684" spans="1:12">
      <c r="A684" s="4"/>
      <c r="D684" t="str">
        <f>IF($C684="","",IFERROR(INDEX(Orders!$B:$B,MATCH($C684,Orders!$A:$A,0)),""))</f>
        <v/>
      </c>
      <c r="E684" t="str">
        <f>IF($C684="","",IFERROR(INDEX(Orders!$D:$D,MATCH($C684,Orders!$A:$A,0)),""))</f>
        <v/>
      </c>
      <c r="H684" s="5"/>
      <c r="I684" s="5"/>
      <c r="J684" s="5"/>
      <c r="K684" s="5"/>
      <c r="L684" s="5" t="str">
        <f t="shared" si="10"/>
        <v/>
      </c>
    </row>
    <row r="685" spans="1:12">
      <c r="A685" s="4"/>
      <c r="D685" t="str">
        <f>IF($C685="","",IFERROR(INDEX(Orders!$B:$B,MATCH($C685,Orders!$A:$A,0)),""))</f>
        <v/>
      </c>
      <c r="E685" t="str">
        <f>IF($C685="","",IFERROR(INDEX(Orders!$D:$D,MATCH($C685,Orders!$A:$A,0)),""))</f>
        <v/>
      </c>
      <c r="H685" s="5"/>
      <c r="I685" s="5"/>
      <c r="J685" s="5"/>
      <c r="K685" s="5"/>
      <c r="L685" s="5" t="str">
        <f t="shared" si="10"/>
        <v/>
      </c>
    </row>
    <row r="686" spans="1:12">
      <c r="A686" s="4"/>
      <c r="D686" t="str">
        <f>IF($C686="","",IFERROR(INDEX(Orders!$B:$B,MATCH($C686,Orders!$A:$A,0)),""))</f>
        <v/>
      </c>
      <c r="E686" t="str">
        <f>IF($C686="","",IFERROR(INDEX(Orders!$D:$D,MATCH($C686,Orders!$A:$A,0)),""))</f>
        <v/>
      </c>
      <c r="H686" s="5"/>
      <c r="I686" s="5"/>
      <c r="J686" s="5"/>
      <c r="K686" s="5"/>
      <c r="L686" s="5" t="str">
        <f t="shared" si="10"/>
        <v/>
      </c>
    </row>
    <row r="687" spans="1:12">
      <c r="A687" s="4"/>
      <c r="D687" t="str">
        <f>IF($C687="","",IFERROR(INDEX(Orders!$B:$B,MATCH($C687,Orders!$A:$A,0)),""))</f>
        <v/>
      </c>
      <c r="E687" t="str">
        <f>IF($C687="","",IFERROR(INDEX(Orders!$D:$D,MATCH($C687,Orders!$A:$A,0)),""))</f>
        <v/>
      </c>
      <c r="H687" s="5"/>
      <c r="I687" s="5"/>
      <c r="J687" s="5"/>
      <c r="K687" s="5"/>
      <c r="L687" s="5" t="str">
        <f t="shared" si="10"/>
        <v/>
      </c>
    </row>
    <row r="688" spans="1:12">
      <c r="A688" s="4"/>
      <c r="D688" t="str">
        <f>IF($C688="","",IFERROR(INDEX(Orders!$B:$B,MATCH($C688,Orders!$A:$A,0)),""))</f>
        <v/>
      </c>
      <c r="E688" t="str">
        <f>IF($C688="","",IFERROR(INDEX(Orders!$D:$D,MATCH($C688,Orders!$A:$A,0)),""))</f>
        <v/>
      </c>
      <c r="H688" s="5"/>
      <c r="I688" s="5"/>
      <c r="J688" s="5"/>
      <c r="K688" s="5"/>
      <c r="L688" s="5" t="str">
        <f t="shared" si="10"/>
        <v/>
      </c>
    </row>
    <row r="689" spans="1:12">
      <c r="A689" s="4"/>
      <c r="D689" t="str">
        <f>IF($C689="","",IFERROR(INDEX(Orders!$B:$B,MATCH($C689,Orders!$A:$A,0)),""))</f>
        <v/>
      </c>
      <c r="E689" t="str">
        <f>IF($C689="","",IFERROR(INDEX(Orders!$D:$D,MATCH($C689,Orders!$A:$A,0)),""))</f>
        <v/>
      </c>
      <c r="H689" s="5"/>
      <c r="I689" s="5"/>
      <c r="J689" s="5"/>
      <c r="K689" s="5"/>
      <c r="L689" s="5" t="str">
        <f t="shared" si="10"/>
        <v/>
      </c>
    </row>
    <row r="690" spans="1:12">
      <c r="A690" s="4"/>
      <c r="D690" t="str">
        <f>IF($C690="","",IFERROR(INDEX(Orders!$B:$B,MATCH($C690,Orders!$A:$A,0)),""))</f>
        <v/>
      </c>
      <c r="E690" t="str">
        <f>IF($C690="","",IFERROR(INDEX(Orders!$D:$D,MATCH($C690,Orders!$A:$A,0)),""))</f>
        <v/>
      </c>
      <c r="H690" s="5"/>
      <c r="I690" s="5"/>
      <c r="J690" s="5"/>
      <c r="K690" s="5"/>
      <c r="L690" s="5" t="str">
        <f t="shared" si="10"/>
        <v/>
      </c>
    </row>
    <row r="691" spans="1:12">
      <c r="A691" s="4"/>
      <c r="D691" t="str">
        <f>IF($C691="","",IFERROR(INDEX(Orders!$B:$B,MATCH($C691,Orders!$A:$A,0)),""))</f>
        <v/>
      </c>
      <c r="E691" t="str">
        <f>IF($C691="","",IFERROR(INDEX(Orders!$D:$D,MATCH($C691,Orders!$A:$A,0)),""))</f>
        <v/>
      </c>
      <c r="H691" s="5"/>
      <c r="I691" s="5"/>
      <c r="J691" s="5"/>
      <c r="K691" s="5"/>
      <c r="L691" s="5" t="str">
        <f t="shared" si="10"/>
        <v/>
      </c>
    </row>
    <row r="692" spans="1:12">
      <c r="A692" s="4"/>
      <c r="D692" t="str">
        <f>IF($C692="","",IFERROR(INDEX(Orders!$B:$B,MATCH($C692,Orders!$A:$A,0)),""))</f>
        <v/>
      </c>
      <c r="E692" t="str">
        <f>IF($C692="","",IFERROR(INDEX(Orders!$D:$D,MATCH($C692,Orders!$A:$A,0)),""))</f>
        <v/>
      </c>
      <c r="H692" s="5"/>
      <c r="I692" s="5"/>
      <c r="J692" s="5"/>
      <c r="K692" s="5"/>
      <c r="L692" s="5" t="str">
        <f t="shared" si="10"/>
        <v/>
      </c>
    </row>
    <row r="693" spans="1:12">
      <c r="A693" s="4"/>
      <c r="D693" t="str">
        <f>IF($C693="","",IFERROR(INDEX(Orders!$B:$B,MATCH($C693,Orders!$A:$A,0)),""))</f>
        <v/>
      </c>
      <c r="E693" t="str">
        <f>IF($C693="","",IFERROR(INDEX(Orders!$D:$D,MATCH($C693,Orders!$A:$A,0)),""))</f>
        <v/>
      </c>
      <c r="H693" s="5"/>
      <c r="I693" s="5"/>
      <c r="J693" s="5"/>
      <c r="K693" s="5"/>
      <c r="L693" s="5" t="str">
        <f t="shared" si="10"/>
        <v/>
      </c>
    </row>
    <row r="694" spans="1:12">
      <c r="A694" s="4"/>
      <c r="D694" t="str">
        <f>IF($C694="","",IFERROR(INDEX(Orders!$B:$B,MATCH($C694,Orders!$A:$A,0)),""))</f>
        <v/>
      </c>
      <c r="E694" t="str">
        <f>IF($C694="","",IFERROR(INDEX(Orders!$D:$D,MATCH($C694,Orders!$A:$A,0)),""))</f>
        <v/>
      </c>
      <c r="H694" s="5"/>
      <c r="I694" s="5"/>
      <c r="J694" s="5"/>
      <c r="K694" s="5"/>
      <c r="L694" s="5" t="str">
        <f t="shared" si="10"/>
        <v/>
      </c>
    </row>
    <row r="695" spans="1:12">
      <c r="A695" s="4"/>
      <c r="D695" t="str">
        <f>IF($C695="","",IFERROR(INDEX(Orders!$B:$B,MATCH($C695,Orders!$A:$A,0)),""))</f>
        <v/>
      </c>
      <c r="E695" t="str">
        <f>IF($C695="","",IFERROR(INDEX(Orders!$D:$D,MATCH($C695,Orders!$A:$A,0)),""))</f>
        <v/>
      </c>
      <c r="H695" s="5"/>
      <c r="I695" s="5"/>
      <c r="J695" s="5"/>
      <c r="K695" s="5"/>
      <c r="L695" s="5" t="str">
        <f t="shared" si="10"/>
        <v/>
      </c>
    </row>
    <row r="696" spans="1:12">
      <c r="A696" s="4"/>
      <c r="D696" t="str">
        <f>IF($C696="","",IFERROR(INDEX(Orders!$B:$B,MATCH($C696,Orders!$A:$A,0)),""))</f>
        <v/>
      </c>
      <c r="E696" t="str">
        <f>IF($C696="","",IFERROR(INDEX(Orders!$D:$D,MATCH($C696,Orders!$A:$A,0)),""))</f>
        <v/>
      </c>
      <c r="H696" s="5"/>
      <c r="I696" s="5"/>
      <c r="J696" s="5"/>
      <c r="K696" s="5"/>
      <c r="L696" s="5" t="str">
        <f t="shared" si="10"/>
        <v/>
      </c>
    </row>
    <row r="697" spans="1:12">
      <c r="A697" s="4"/>
      <c r="D697" t="str">
        <f>IF($C697="","",IFERROR(INDEX(Orders!$B:$B,MATCH($C697,Orders!$A:$A,0)),""))</f>
        <v/>
      </c>
      <c r="E697" t="str">
        <f>IF($C697="","",IFERROR(INDEX(Orders!$D:$D,MATCH($C697,Orders!$A:$A,0)),""))</f>
        <v/>
      </c>
      <c r="H697" s="5"/>
      <c r="I697" s="5"/>
      <c r="J697" s="5"/>
      <c r="K697" s="5"/>
      <c r="L697" s="5" t="str">
        <f t="shared" si="10"/>
        <v/>
      </c>
    </row>
    <row r="698" spans="1:12">
      <c r="A698" s="4"/>
      <c r="D698" t="str">
        <f>IF($C698="","",IFERROR(INDEX(Orders!$B:$B,MATCH($C698,Orders!$A:$A,0)),""))</f>
        <v/>
      </c>
      <c r="E698" t="str">
        <f>IF($C698="","",IFERROR(INDEX(Orders!$D:$D,MATCH($C698,Orders!$A:$A,0)),""))</f>
        <v/>
      </c>
      <c r="H698" s="5"/>
      <c r="I698" s="5"/>
      <c r="J698" s="5"/>
      <c r="K698" s="5"/>
      <c r="L698" s="5" t="str">
        <f t="shared" si="10"/>
        <v/>
      </c>
    </row>
    <row r="699" spans="1:12">
      <c r="A699" s="4"/>
      <c r="D699" t="str">
        <f>IF($C699="","",IFERROR(INDEX(Orders!$B:$B,MATCH($C699,Orders!$A:$A,0)),""))</f>
        <v/>
      </c>
      <c r="E699" t="str">
        <f>IF($C699="","",IFERROR(INDEX(Orders!$D:$D,MATCH($C699,Orders!$A:$A,0)),""))</f>
        <v/>
      </c>
      <c r="H699" s="5"/>
      <c r="I699" s="5"/>
      <c r="J699" s="5"/>
      <c r="K699" s="5"/>
      <c r="L699" s="5" t="str">
        <f t="shared" si="10"/>
        <v/>
      </c>
    </row>
    <row r="700" spans="1:12">
      <c r="A700" s="4"/>
      <c r="D700" t="str">
        <f>IF($C700="","",IFERROR(INDEX(Orders!$B:$B,MATCH($C700,Orders!$A:$A,0)),""))</f>
        <v/>
      </c>
      <c r="E700" t="str">
        <f>IF($C700="","",IFERROR(INDEX(Orders!$D:$D,MATCH($C700,Orders!$A:$A,0)),""))</f>
        <v/>
      </c>
      <c r="H700" s="5"/>
      <c r="I700" s="5"/>
      <c r="J700" s="5"/>
      <c r="K700" s="5"/>
      <c r="L700" s="5" t="str">
        <f t="shared" si="10"/>
        <v/>
      </c>
    </row>
    <row r="701" spans="1:12">
      <c r="A701" s="4"/>
      <c r="D701" t="str">
        <f>IF($C701="","",IFERROR(INDEX(Orders!$B:$B,MATCH($C701,Orders!$A:$A,0)),""))</f>
        <v/>
      </c>
      <c r="E701" t="str">
        <f>IF($C701="","",IFERROR(INDEX(Orders!$D:$D,MATCH($C701,Orders!$A:$A,0)),""))</f>
        <v/>
      </c>
      <c r="H701" s="5"/>
      <c r="I701" s="5"/>
      <c r="J701" s="5"/>
      <c r="K701" s="5"/>
      <c r="L701" s="5" t="str">
        <f t="shared" si="10"/>
        <v/>
      </c>
    </row>
    <row r="702" spans="1:12">
      <c r="A702" s="4"/>
      <c r="D702" t="str">
        <f>IF($C702="","",IFERROR(INDEX(Orders!$B:$B,MATCH($C702,Orders!$A:$A,0)),""))</f>
        <v/>
      </c>
      <c r="E702" t="str">
        <f>IF($C702="","",IFERROR(INDEX(Orders!$D:$D,MATCH($C702,Orders!$A:$A,0)),""))</f>
        <v/>
      </c>
      <c r="H702" s="5"/>
      <c r="I702" s="5"/>
      <c r="J702" s="5"/>
      <c r="K702" s="5"/>
      <c r="L702" s="5" t="str">
        <f t="shared" si="10"/>
        <v/>
      </c>
    </row>
    <row r="703" spans="1:12">
      <c r="A703" s="4"/>
      <c r="D703" t="str">
        <f>IF($C703="","",IFERROR(INDEX(Orders!$B:$B,MATCH($C703,Orders!$A:$A,0)),""))</f>
        <v/>
      </c>
      <c r="E703" t="str">
        <f>IF($C703="","",IFERROR(INDEX(Orders!$D:$D,MATCH($C703,Orders!$A:$A,0)),""))</f>
        <v/>
      </c>
      <c r="H703" s="5"/>
      <c r="I703" s="5"/>
      <c r="J703" s="5"/>
      <c r="K703" s="5"/>
      <c r="L703" s="5" t="str">
        <f t="shared" si="10"/>
        <v/>
      </c>
    </row>
    <row r="704" spans="1:12">
      <c r="A704" s="4"/>
      <c r="D704" t="str">
        <f>IF($C704="","",IFERROR(INDEX(Orders!$B:$B,MATCH($C704,Orders!$A:$A,0)),""))</f>
        <v/>
      </c>
      <c r="E704" t="str">
        <f>IF($C704="","",IFERROR(INDEX(Orders!$D:$D,MATCH($C704,Orders!$A:$A,0)),""))</f>
        <v/>
      </c>
      <c r="H704" s="5"/>
      <c r="I704" s="5"/>
      <c r="J704" s="5"/>
      <c r="K704" s="5"/>
      <c r="L704" s="5" t="str">
        <f t="shared" si="10"/>
        <v/>
      </c>
    </row>
    <row r="705" spans="1:12">
      <c r="A705" s="4"/>
      <c r="D705" t="str">
        <f>IF($C705="","",IFERROR(INDEX(Orders!$B:$B,MATCH($C705,Orders!$A:$A,0)),""))</f>
        <v/>
      </c>
      <c r="E705" t="str">
        <f>IF($C705="","",IFERROR(INDEX(Orders!$D:$D,MATCH($C705,Orders!$A:$A,0)),""))</f>
        <v/>
      </c>
      <c r="H705" s="5"/>
      <c r="I705" s="5"/>
      <c r="J705" s="5"/>
      <c r="K705" s="5"/>
      <c r="L705" s="5" t="str">
        <f t="shared" si="10"/>
        <v/>
      </c>
    </row>
    <row r="706" spans="1:12">
      <c r="A706" s="4"/>
      <c r="D706" t="str">
        <f>IF($C706="","",IFERROR(INDEX(Orders!$B:$B,MATCH($C706,Orders!$A:$A,0)),""))</f>
        <v/>
      </c>
      <c r="E706" t="str">
        <f>IF($C706="","",IFERROR(INDEX(Orders!$D:$D,MATCH($C706,Orders!$A:$A,0)),""))</f>
        <v/>
      </c>
      <c r="H706" s="5"/>
      <c r="I706" s="5"/>
      <c r="J706" s="5"/>
      <c r="K706" s="5"/>
      <c r="L706" s="5" t="str">
        <f t="shared" ref="L706:L769" si="11">IF($C706="","",$H706-$I706-$K706)</f>
        <v/>
      </c>
    </row>
    <row r="707" spans="1:12">
      <c r="A707" s="4"/>
      <c r="D707" t="str">
        <f>IF($C707="","",IFERROR(INDEX(Orders!$B:$B,MATCH($C707,Orders!$A:$A,0)),""))</f>
        <v/>
      </c>
      <c r="E707" t="str">
        <f>IF($C707="","",IFERROR(INDEX(Orders!$D:$D,MATCH($C707,Orders!$A:$A,0)),""))</f>
        <v/>
      </c>
      <c r="H707" s="5"/>
      <c r="I707" s="5"/>
      <c r="J707" s="5"/>
      <c r="K707" s="5"/>
      <c r="L707" s="5" t="str">
        <f t="shared" si="11"/>
        <v/>
      </c>
    </row>
    <row r="708" spans="1:12">
      <c r="A708" s="4"/>
      <c r="D708" t="str">
        <f>IF($C708="","",IFERROR(INDEX(Orders!$B:$B,MATCH($C708,Orders!$A:$A,0)),""))</f>
        <v/>
      </c>
      <c r="E708" t="str">
        <f>IF($C708="","",IFERROR(INDEX(Orders!$D:$D,MATCH($C708,Orders!$A:$A,0)),""))</f>
        <v/>
      </c>
      <c r="H708" s="5"/>
      <c r="I708" s="5"/>
      <c r="J708" s="5"/>
      <c r="K708" s="5"/>
      <c r="L708" s="5" t="str">
        <f t="shared" si="11"/>
        <v/>
      </c>
    </row>
    <row r="709" spans="1:12">
      <c r="A709" s="4"/>
      <c r="D709" t="str">
        <f>IF($C709="","",IFERROR(INDEX(Orders!$B:$B,MATCH($C709,Orders!$A:$A,0)),""))</f>
        <v/>
      </c>
      <c r="E709" t="str">
        <f>IF($C709="","",IFERROR(INDEX(Orders!$D:$D,MATCH($C709,Orders!$A:$A,0)),""))</f>
        <v/>
      </c>
      <c r="H709" s="5"/>
      <c r="I709" s="5"/>
      <c r="J709" s="5"/>
      <c r="K709" s="5"/>
      <c r="L709" s="5" t="str">
        <f t="shared" si="11"/>
        <v/>
      </c>
    </row>
    <row r="710" spans="1:12">
      <c r="A710" s="4"/>
      <c r="D710" t="str">
        <f>IF($C710="","",IFERROR(INDEX(Orders!$B:$B,MATCH($C710,Orders!$A:$A,0)),""))</f>
        <v/>
      </c>
      <c r="E710" t="str">
        <f>IF($C710="","",IFERROR(INDEX(Orders!$D:$D,MATCH($C710,Orders!$A:$A,0)),""))</f>
        <v/>
      </c>
      <c r="H710" s="5"/>
      <c r="I710" s="5"/>
      <c r="J710" s="5"/>
      <c r="K710" s="5"/>
      <c r="L710" s="5" t="str">
        <f t="shared" si="11"/>
        <v/>
      </c>
    </row>
    <row r="711" spans="1:12">
      <c r="A711" s="4"/>
      <c r="D711" t="str">
        <f>IF($C711="","",IFERROR(INDEX(Orders!$B:$B,MATCH($C711,Orders!$A:$A,0)),""))</f>
        <v/>
      </c>
      <c r="E711" t="str">
        <f>IF($C711="","",IFERROR(INDEX(Orders!$D:$D,MATCH($C711,Orders!$A:$A,0)),""))</f>
        <v/>
      </c>
      <c r="H711" s="5"/>
      <c r="I711" s="5"/>
      <c r="J711" s="5"/>
      <c r="K711" s="5"/>
      <c r="L711" s="5" t="str">
        <f t="shared" si="11"/>
        <v/>
      </c>
    </row>
    <row r="712" spans="1:12">
      <c r="A712" s="4"/>
      <c r="D712" t="str">
        <f>IF($C712="","",IFERROR(INDEX(Orders!$B:$B,MATCH($C712,Orders!$A:$A,0)),""))</f>
        <v/>
      </c>
      <c r="E712" t="str">
        <f>IF($C712="","",IFERROR(INDEX(Orders!$D:$D,MATCH($C712,Orders!$A:$A,0)),""))</f>
        <v/>
      </c>
      <c r="H712" s="5"/>
      <c r="I712" s="5"/>
      <c r="J712" s="5"/>
      <c r="K712" s="5"/>
      <c r="L712" s="5" t="str">
        <f t="shared" si="11"/>
        <v/>
      </c>
    </row>
    <row r="713" spans="1:12">
      <c r="A713" s="4"/>
      <c r="D713" t="str">
        <f>IF($C713="","",IFERROR(INDEX(Orders!$B:$B,MATCH($C713,Orders!$A:$A,0)),""))</f>
        <v/>
      </c>
      <c r="E713" t="str">
        <f>IF($C713="","",IFERROR(INDEX(Orders!$D:$D,MATCH($C713,Orders!$A:$A,0)),""))</f>
        <v/>
      </c>
      <c r="H713" s="5"/>
      <c r="I713" s="5"/>
      <c r="J713" s="5"/>
      <c r="K713" s="5"/>
      <c r="L713" s="5" t="str">
        <f t="shared" si="11"/>
        <v/>
      </c>
    </row>
    <row r="714" spans="1:12">
      <c r="A714" s="4"/>
      <c r="D714" t="str">
        <f>IF($C714="","",IFERROR(INDEX(Orders!$B:$B,MATCH($C714,Orders!$A:$A,0)),""))</f>
        <v/>
      </c>
      <c r="E714" t="str">
        <f>IF($C714="","",IFERROR(INDEX(Orders!$D:$D,MATCH($C714,Orders!$A:$A,0)),""))</f>
        <v/>
      </c>
      <c r="H714" s="5"/>
      <c r="I714" s="5"/>
      <c r="J714" s="5"/>
      <c r="K714" s="5"/>
      <c r="L714" s="5" t="str">
        <f t="shared" si="11"/>
        <v/>
      </c>
    </row>
    <row r="715" spans="1:12">
      <c r="A715" s="4"/>
      <c r="D715" t="str">
        <f>IF($C715="","",IFERROR(INDEX(Orders!$B:$B,MATCH($C715,Orders!$A:$A,0)),""))</f>
        <v/>
      </c>
      <c r="E715" t="str">
        <f>IF($C715="","",IFERROR(INDEX(Orders!$D:$D,MATCH($C715,Orders!$A:$A,0)),""))</f>
        <v/>
      </c>
      <c r="H715" s="5"/>
      <c r="I715" s="5"/>
      <c r="J715" s="5"/>
      <c r="K715" s="5"/>
      <c r="L715" s="5" t="str">
        <f t="shared" si="11"/>
        <v/>
      </c>
    </row>
    <row r="716" spans="1:12">
      <c r="A716" s="4"/>
      <c r="D716" t="str">
        <f>IF($C716="","",IFERROR(INDEX(Orders!$B:$B,MATCH($C716,Orders!$A:$A,0)),""))</f>
        <v/>
      </c>
      <c r="E716" t="str">
        <f>IF($C716="","",IFERROR(INDEX(Orders!$D:$D,MATCH($C716,Orders!$A:$A,0)),""))</f>
        <v/>
      </c>
      <c r="H716" s="5"/>
      <c r="I716" s="5"/>
      <c r="J716" s="5"/>
      <c r="K716" s="5"/>
      <c r="L716" s="5" t="str">
        <f t="shared" si="11"/>
        <v/>
      </c>
    </row>
    <row r="717" spans="1:12">
      <c r="A717" s="4"/>
      <c r="D717" t="str">
        <f>IF($C717="","",IFERROR(INDEX(Orders!$B:$B,MATCH($C717,Orders!$A:$A,0)),""))</f>
        <v/>
      </c>
      <c r="E717" t="str">
        <f>IF($C717="","",IFERROR(INDEX(Orders!$D:$D,MATCH($C717,Orders!$A:$A,0)),""))</f>
        <v/>
      </c>
      <c r="H717" s="5"/>
      <c r="I717" s="5"/>
      <c r="J717" s="5"/>
      <c r="K717" s="5"/>
      <c r="L717" s="5" t="str">
        <f t="shared" si="11"/>
        <v/>
      </c>
    </row>
    <row r="718" spans="1:12">
      <c r="A718" s="4"/>
      <c r="D718" t="str">
        <f>IF($C718="","",IFERROR(INDEX(Orders!$B:$B,MATCH($C718,Orders!$A:$A,0)),""))</f>
        <v/>
      </c>
      <c r="E718" t="str">
        <f>IF($C718="","",IFERROR(INDEX(Orders!$D:$D,MATCH($C718,Orders!$A:$A,0)),""))</f>
        <v/>
      </c>
      <c r="H718" s="5"/>
      <c r="I718" s="5"/>
      <c r="J718" s="5"/>
      <c r="K718" s="5"/>
      <c r="L718" s="5" t="str">
        <f t="shared" si="11"/>
        <v/>
      </c>
    </row>
    <row r="719" spans="1:12">
      <c r="A719" s="4"/>
      <c r="D719" t="str">
        <f>IF($C719="","",IFERROR(INDEX(Orders!$B:$B,MATCH($C719,Orders!$A:$A,0)),""))</f>
        <v/>
      </c>
      <c r="E719" t="str">
        <f>IF($C719="","",IFERROR(INDEX(Orders!$D:$D,MATCH($C719,Orders!$A:$A,0)),""))</f>
        <v/>
      </c>
      <c r="H719" s="5"/>
      <c r="I719" s="5"/>
      <c r="J719" s="5"/>
      <c r="K719" s="5"/>
      <c r="L719" s="5" t="str">
        <f t="shared" si="11"/>
        <v/>
      </c>
    </row>
    <row r="720" spans="1:12">
      <c r="A720" s="4"/>
      <c r="D720" t="str">
        <f>IF($C720="","",IFERROR(INDEX(Orders!$B:$B,MATCH($C720,Orders!$A:$A,0)),""))</f>
        <v/>
      </c>
      <c r="E720" t="str">
        <f>IF($C720="","",IFERROR(INDEX(Orders!$D:$D,MATCH($C720,Orders!$A:$A,0)),""))</f>
        <v/>
      </c>
      <c r="H720" s="5"/>
      <c r="I720" s="5"/>
      <c r="J720" s="5"/>
      <c r="K720" s="5"/>
      <c r="L720" s="5" t="str">
        <f t="shared" si="11"/>
        <v/>
      </c>
    </row>
    <row r="721" spans="1:12">
      <c r="A721" s="4"/>
      <c r="D721" t="str">
        <f>IF($C721="","",IFERROR(INDEX(Orders!$B:$B,MATCH($C721,Orders!$A:$A,0)),""))</f>
        <v/>
      </c>
      <c r="E721" t="str">
        <f>IF($C721="","",IFERROR(INDEX(Orders!$D:$D,MATCH($C721,Orders!$A:$A,0)),""))</f>
        <v/>
      </c>
      <c r="H721" s="5"/>
      <c r="I721" s="5"/>
      <c r="J721" s="5"/>
      <c r="K721" s="5"/>
      <c r="L721" s="5" t="str">
        <f t="shared" si="11"/>
        <v/>
      </c>
    </row>
    <row r="722" spans="1:12">
      <c r="A722" s="4"/>
      <c r="D722" t="str">
        <f>IF($C722="","",IFERROR(INDEX(Orders!$B:$B,MATCH($C722,Orders!$A:$A,0)),""))</f>
        <v/>
      </c>
      <c r="E722" t="str">
        <f>IF($C722="","",IFERROR(INDEX(Orders!$D:$D,MATCH($C722,Orders!$A:$A,0)),""))</f>
        <v/>
      </c>
      <c r="H722" s="5"/>
      <c r="I722" s="5"/>
      <c r="J722" s="5"/>
      <c r="K722" s="5"/>
      <c r="L722" s="5" t="str">
        <f t="shared" si="11"/>
        <v/>
      </c>
    </row>
    <row r="723" spans="1:12">
      <c r="A723" s="4"/>
      <c r="D723" t="str">
        <f>IF($C723="","",IFERROR(INDEX(Orders!$B:$B,MATCH($C723,Orders!$A:$A,0)),""))</f>
        <v/>
      </c>
      <c r="E723" t="str">
        <f>IF($C723="","",IFERROR(INDEX(Orders!$D:$D,MATCH($C723,Orders!$A:$A,0)),""))</f>
        <v/>
      </c>
      <c r="H723" s="5"/>
      <c r="I723" s="5"/>
      <c r="J723" s="5"/>
      <c r="K723" s="5"/>
      <c r="L723" s="5" t="str">
        <f t="shared" si="11"/>
        <v/>
      </c>
    </row>
    <row r="724" spans="1:12">
      <c r="A724" s="4"/>
      <c r="D724" t="str">
        <f>IF($C724="","",IFERROR(INDEX(Orders!$B:$B,MATCH($C724,Orders!$A:$A,0)),""))</f>
        <v/>
      </c>
      <c r="E724" t="str">
        <f>IF($C724="","",IFERROR(INDEX(Orders!$D:$D,MATCH($C724,Orders!$A:$A,0)),""))</f>
        <v/>
      </c>
      <c r="H724" s="5"/>
      <c r="I724" s="5"/>
      <c r="J724" s="5"/>
      <c r="K724" s="5"/>
      <c r="L724" s="5" t="str">
        <f t="shared" si="11"/>
        <v/>
      </c>
    </row>
    <row r="725" spans="1:12">
      <c r="A725" s="4"/>
      <c r="D725" t="str">
        <f>IF($C725="","",IFERROR(INDEX(Orders!$B:$B,MATCH($C725,Orders!$A:$A,0)),""))</f>
        <v/>
      </c>
      <c r="E725" t="str">
        <f>IF($C725="","",IFERROR(INDEX(Orders!$D:$D,MATCH($C725,Orders!$A:$A,0)),""))</f>
        <v/>
      </c>
      <c r="H725" s="5"/>
      <c r="I725" s="5"/>
      <c r="J725" s="5"/>
      <c r="K725" s="5"/>
      <c r="L725" s="5" t="str">
        <f t="shared" si="11"/>
        <v/>
      </c>
    </row>
    <row r="726" spans="1:12">
      <c r="A726" s="4"/>
      <c r="D726" t="str">
        <f>IF($C726="","",IFERROR(INDEX(Orders!$B:$B,MATCH($C726,Orders!$A:$A,0)),""))</f>
        <v/>
      </c>
      <c r="E726" t="str">
        <f>IF($C726="","",IFERROR(INDEX(Orders!$D:$D,MATCH($C726,Orders!$A:$A,0)),""))</f>
        <v/>
      </c>
      <c r="H726" s="5"/>
      <c r="I726" s="5"/>
      <c r="J726" s="5"/>
      <c r="K726" s="5"/>
      <c r="L726" s="5" t="str">
        <f t="shared" si="11"/>
        <v/>
      </c>
    </row>
    <row r="727" spans="1:12">
      <c r="A727" s="4"/>
      <c r="D727" t="str">
        <f>IF($C727="","",IFERROR(INDEX(Orders!$B:$B,MATCH($C727,Orders!$A:$A,0)),""))</f>
        <v/>
      </c>
      <c r="E727" t="str">
        <f>IF($C727="","",IFERROR(INDEX(Orders!$D:$D,MATCH($C727,Orders!$A:$A,0)),""))</f>
        <v/>
      </c>
      <c r="H727" s="5"/>
      <c r="I727" s="5"/>
      <c r="J727" s="5"/>
      <c r="K727" s="5"/>
      <c r="L727" s="5" t="str">
        <f t="shared" si="11"/>
        <v/>
      </c>
    </row>
    <row r="728" spans="1:12">
      <c r="A728" s="4"/>
      <c r="D728" t="str">
        <f>IF($C728="","",IFERROR(INDEX(Orders!$B:$B,MATCH($C728,Orders!$A:$A,0)),""))</f>
        <v/>
      </c>
      <c r="E728" t="str">
        <f>IF($C728="","",IFERROR(INDEX(Orders!$D:$D,MATCH($C728,Orders!$A:$A,0)),""))</f>
        <v/>
      </c>
      <c r="H728" s="5"/>
      <c r="I728" s="5"/>
      <c r="J728" s="5"/>
      <c r="K728" s="5"/>
      <c r="L728" s="5" t="str">
        <f t="shared" si="11"/>
        <v/>
      </c>
    </row>
    <row r="729" spans="1:12">
      <c r="A729" s="4"/>
      <c r="D729" t="str">
        <f>IF($C729="","",IFERROR(INDEX(Orders!$B:$B,MATCH($C729,Orders!$A:$A,0)),""))</f>
        <v/>
      </c>
      <c r="E729" t="str">
        <f>IF($C729="","",IFERROR(INDEX(Orders!$D:$D,MATCH($C729,Orders!$A:$A,0)),""))</f>
        <v/>
      </c>
      <c r="H729" s="5"/>
      <c r="I729" s="5"/>
      <c r="J729" s="5"/>
      <c r="K729" s="5"/>
      <c r="L729" s="5" t="str">
        <f t="shared" si="11"/>
        <v/>
      </c>
    </row>
    <row r="730" spans="1:12">
      <c r="A730" s="4"/>
      <c r="D730" t="str">
        <f>IF($C730="","",IFERROR(INDEX(Orders!$B:$B,MATCH($C730,Orders!$A:$A,0)),""))</f>
        <v/>
      </c>
      <c r="E730" t="str">
        <f>IF($C730="","",IFERROR(INDEX(Orders!$D:$D,MATCH($C730,Orders!$A:$A,0)),""))</f>
        <v/>
      </c>
      <c r="H730" s="5"/>
      <c r="I730" s="5"/>
      <c r="J730" s="5"/>
      <c r="K730" s="5"/>
      <c r="L730" s="5" t="str">
        <f t="shared" si="11"/>
        <v/>
      </c>
    </row>
    <row r="731" spans="1:12">
      <c r="A731" s="4"/>
      <c r="D731" t="str">
        <f>IF($C731="","",IFERROR(INDEX(Orders!$B:$B,MATCH($C731,Orders!$A:$A,0)),""))</f>
        <v/>
      </c>
      <c r="E731" t="str">
        <f>IF($C731="","",IFERROR(INDEX(Orders!$D:$D,MATCH($C731,Orders!$A:$A,0)),""))</f>
        <v/>
      </c>
      <c r="H731" s="5"/>
      <c r="I731" s="5"/>
      <c r="J731" s="5"/>
      <c r="K731" s="5"/>
      <c r="L731" s="5" t="str">
        <f t="shared" si="11"/>
        <v/>
      </c>
    </row>
    <row r="732" spans="1:12">
      <c r="A732" s="4"/>
      <c r="D732" t="str">
        <f>IF($C732="","",IFERROR(INDEX(Orders!$B:$B,MATCH($C732,Orders!$A:$A,0)),""))</f>
        <v/>
      </c>
      <c r="E732" t="str">
        <f>IF($C732="","",IFERROR(INDEX(Orders!$D:$D,MATCH($C732,Orders!$A:$A,0)),""))</f>
        <v/>
      </c>
      <c r="H732" s="5"/>
      <c r="I732" s="5"/>
      <c r="J732" s="5"/>
      <c r="K732" s="5"/>
      <c r="L732" s="5" t="str">
        <f t="shared" si="11"/>
        <v/>
      </c>
    </row>
    <row r="733" spans="1:12">
      <c r="A733" s="4"/>
      <c r="D733" t="str">
        <f>IF($C733="","",IFERROR(INDEX(Orders!$B:$B,MATCH($C733,Orders!$A:$A,0)),""))</f>
        <v/>
      </c>
      <c r="E733" t="str">
        <f>IF($C733="","",IFERROR(INDEX(Orders!$D:$D,MATCH($C733,Orders!$A:$A,0)),""))</f>
        <v/>
      </c>
      <c r="H733" s="5"/>
      <c r="I733" s="5"/>
      <c r="J733" s="5"/>
      <c r="K733" s="5"/>
      <c r="L733" s="5" t="str">
        <f t="shared" si="11"/>
        <v/>
      </c>
    </row>
    <row r="734" spans="1:12">
      <c r="A734" s="4"/>
      <c r="D734" t="str">
        <f>IF($C734="","",IFERROR(INDEX(Orders!$B:$B,MATCH($C734,Orders!$A:$A,0)),""))</f>
        <v/>
      </c>
      <c r="E734" t="str">
        <f>IF($C734="","",IFERROR(INDEX(Orders!$D:$D,MATCH($C734,Orders!$A:$A,0)),""))</f>
        <v/>
      </c>
      <c r="H734" s="5"/>
      <c r="I734" s="5"/>
      <c r="J734" s="5"/>
      <c r="K734" s="5"/>
      <c r="L734" s="5" t="str">
        <f t="shared" si="11"/>
        <v/>
      </c>
    </row>
    <row r="735" spans="1:12">
      <c r="A735" s="4"/>
      <c r="D735" t="str">
        <f>IF($C735="","",IFERROR(INDEX(Orders!$B:$B,MATCH($C735,Orders!$A:$A,0)),""))</f>
        <v/>
      </c>
      <c r="E735" t="str">
        <f>IF($C735="","",IFERROR(INDEX(Orders!$D:$D,MATCH($C735,Orders!$A:$A,0)),""))</f>
        <v/>
      </c>
      <c r="H735" s="5"/>
      <c r="I735" s="5"/>
      <c r="J735" s="5"/>
      <c r="K735" s="5"/>
      <c r="L735" s="5" t="str">
        <f t="shared" si="11"/>
        <v/>
      </c>
    </row>
    <row r="736" spans="1:12">
      <c r="A736" s="4"/>
      <c r="D736" t="str">
        <f>IF($C736="","",IFERROR(INDEX(Orders!$B:$B,MATCH($C736,Orders!$A:$A,0)),""))</f>
        <v/>
      </c>
      <c r="E736" t="str">
        <f>IF($C736="","",IFERROR(INDEX(Orders!$D:$D,MATCH($C736,Orders!$A:$A,0)),""))</f>
        <v/>
      </c>
      <c r="H736" s="5"/>
      <c r="I736" s="5"/>
      <c r="J736" s="5"/>
      <c r="K736" s="5"/>
      <c r="L736" s="5" t="str">
        <f t="shared" si="11"/>
        <v/>
      </c>
    </row>
    <row r="737" spans="1:12">
      <c r="A737" s="4"/>
      <c r="D737" t="str">
        <f>IF($C737="","",IFERROR(INDEX(Orders!$B:$B,MATCH($C737,Orders!$A:$A,0)),""))</f>
        <v/>
      </c>
      <c r="E737" t="str">
        <f>IF($C737="","",IFERROR(INDEX(Orders!$D:$D,MATCH($C737,Orders!$A:$A,0)),""))</f>
        <v/>
      </c>
      <c r="H737" s="5"/>
      <c r="I737" s="5"/>
      <c r="J737" s="5"/>
      <c r="K737" s="5"/>
      <c r="L737" s="5" t="str">
        <f t="shared" si="11"/>
        <v/>
      </c>
    </row>
    <row r="738" spans="1:12">
      <c r="A738" s="4"/>
      <c r="D738" t="str">
        <f>IF($C738="","",IFERROR(INDEX(Orders!$B:$B,MATCH($C738,Orders!$A:$A,0)),""))</f>
        <v/>
      </c>
      <c r="E738" t="str">
        <f>IF($C738="","",IFERROR(INDEX(Orders!$D:$D,MATCH($C738,Orders!$A:$A,0)),""))</f>
        <v/>
      </c>
      <c r="H738" s="5"/>
      <c r="I738" s="5"/>
      <c r="J738" s="5"/>
      <c r="K738" s="5"/>
      <c r="L738" s="5" t="str">
        <f t="shared" si="11"/>
        <v/>
      </c>
    </row>
    <row r="739" spans="1:12">
      <c r="A739" s="4"/>
      <c r="D739" t="str">
        <f>IF($C739="","",IFERROR(INDEX(Orders!$B:$B,MATCH($C739,Orders!$A:$A,0)),""))</f>
        <v/>
      </c>
      <c r="E739" t="str">
        <f>IF($C739="","",IFERROR(INDEX(Orders!$D:$D,MATCH($C739,Orders!$A:$A,0)),""))</f>
        <v/>
      </c>
      <c r="H739" s="5"/>
      <c r="I739" s="5"/>
      <c r="J739" s="5"/>
      <c r="K739" s="5"/>
      <c r="L739" s="5" t="str">
        <f t="shared" si="11"/>
        <v/>
      </c>
    </row>
    <row r="740" spans="1:12">
      <c r="A740" s="4"/>
      <c r="D740" t="str">
        <f>IF($C740="","",IFERROR(INDEX(Orders!$B:$B,MATCH($C740,Orders!$A:$A,0)),""))</f>
        <v/>
      </c>
      <c r="E740" t="str">
        <f>IF($C740="","",IFERROR(INDEX(Orders!$D:$D,MATCH($C740,Orders!$A:$A,0)),""))</f>
        <v/>
      </c>
      <c r="H740" s="5"/>
      <c r="I740" s="5"/>
      <c r="J740" s="5"/>
      <c r="K740" s="5"/>
      <c r="L740" s="5" t="str">
        <f t="shared" si="11"/>
        <v/>
      </c>
    </row>
    <row r="741" spans="1:12">
      <c r="A741" s="4"/>
      <c r="D741" t="str">
        <f>IF($C741="","",IFERROR(INDEX(Orders!$B:$B,MATCH($C741,Orders!$A:$A,0)),""))</f>
        <v/>
      </c>
      <c r="E741" t="str">
        <f>IF($C741="","",IFERROR(INDEX(Orders!$D:$D,MATCH($C741,Orders!$A:$A,0)),""))</f>
        <v/>
      </c>
      <c r="H741" s="5"/>
      <c r="I741" s="5"/>
      <c r="J741" s="5"/>
      <c r="K741" s="5"/>
      <c r="L741" s="5" t="str">
        <f t="shared" si="11"/>
        <v/>
      </c>
    </row>
    <row r="742" spans="1:12">
      <c r="A742" s="4"/>
      <c r="D742" t="str">
        <f>IF($C742="","",IFERROR(INDEX(Orders!$B:$B,MATCH($C742,Orders!$A:$A,0)),""))</f>
        <v/>
      </c>
      <c r="E742" t="str">
        <f>IF($C742="","",IFERROR(INDEX(Orders!$D:$D,MATCH($C742,Orders!$A:$A,0)),""))</f>
        <v/>
      </c>
      <c r="H742" s="5"/>
      <c r="I742" s="5"/>
      <c r="J742" s="5"/>
      <c r="K742" s="5"/>
      <c r="L742" s="5" t="str">
        <f t="shared" si="11"/>
        <v/>
      </c>
    </row>
    <row r="743" spans="1:12">
      <c r="A743" s="4"/>
      <c r="D743" t="str">
        <f>IF($C743="","",IFERROR(INDEX(Orders!$B:$B,MATCH($C743,Orders!$A:$A,0)),""))</f>
        <v/>
      </c>
      <c r="E743" t="str">
        <f>IF($C743="","",IFERROR(INDEX(Orders!$D:$D,MATCH($C743,Orders!$A:$A,0)),""))</f>
        <v/>
      </c>
      <c r="H743" s="5"/>
      <c r="I743" s="5"/>
      <c r="J743" s="5"/>
      <c r="K743" s="5"/>
      <c r="L743" s="5" t="str">
        <f t="shared" si="11"/>
        <v/>
      </c>
    </row>
    <row r="744" spans="1:12">
      <c r="A744" s="4"/>
      <c r="D744" t="str">
        <f>IF($C744="","",IFERROR(INDEX(Orders!$B:$B,MATCH($C744,Orders!$A:$A,0)),""))</f>
        <v/>
      </c>
      <c r="E744" t="str">
        <f>IF($C744="","",IFERROR(INDEX(Orders!$D:$D,MATCH($C744,Orders!$A:$A,0)),""))</f>
        <v/>
      </c>
      <c r="H744" s="5"/>
      <c r="I744" s="5"/>
      <c r="J744" s="5"/>
      <c r="K744" s="5"/>
      <c r="L744" s="5" t="str">
        <f t="shared" si="11"/>
        <v/>
      </c>
    </row>
    <row r="745" spans="1:12">
      <c r="A745" s="4"/>
      <c r="D745" t="str">
        <f>IF($C745="","",IFERROR(INDEX(Orders!$B:$B,MATCH($C745,Orders!$A:$A,0)),""))</f>
        <v/>
      </c>
      <c r="E745" t="str">
        <f>IF($C745="","",IFERROR(INDEX(Orders!$D:$D,MATCH($C745,Orders!$A:$A,0)),""))</f>
        <v/>
      </c>
      <c r="H745" s="5"/>
      <c r="I745" s="5"/>
      <c r="J745" s="5"/>
      <c r="K745" s="5"/>
      <c r="L745" s="5" t="str">
        <f t="shared" si="11"/>
        <v/>
      </c>
    </row>
    <row r="746" spans="1:12">
      <c r="A746" s="4"/>
      <c r="D746" t="str">
        <f>IF($C746="","",IFERROR(INDEX(Orders!$B:$B,MATCH($C746,Orders!$A:$A,0)),""))</f>
        <v/>
      </c>
      <c r="E746" t="str">
        <f>IF($C746="","",IFERROR(INDEX(Orders!$D:$D,MATCH($C746,Orders!$A:$A,0)),""))</f>
        <v/>
      </c>
      <c r="H746" s="5"/>
      <c r="I746" s="5"/>
      <c r="J746" s="5"/>
      <c r="K746" s="5"/>
      <c r="L746" s="5" t="str">
        <f t="shared" si="11"/>
        <v/>
      </c>
    </row>
    <row r="747" spans="1:12">
      <c r="A747" s="4"/>
      <c r="D747" t="str">
        <f>IF($C747="","",IFERROR(INDEX(Orders!$B:$B,MATCH($C747,Orders!$A:$A,0)),""))</f>
        <v/>
      </c>
      <c r="E747" t="str">
        <f>IF($C747="","",IFERROR(INDEX(Orders!$D:$D,MATCH($C747,Orders!$A:$A,0)),""))</f>
        <v/>
      </c>
      <c r="H747" s="5"/>
      <c r="I747" s="5"/>
      <c r="J747" s="5"/>
      <c r="K747" s="5"/>
      <c r="L747" s="5" t="str">
        <f t="shared" si="11"/>
        <v/>
      </c>
    </row>
    <row r="748" spans="1:12">
      <c r="A748" s="4"/>
      <c r="D748" t="str">
        <f>IF($C748="","",IFERROR(INDEX(Orders!$B:$B,MATCH($C748,Orders!$A:$A,0)),""))</f>
        <v/>
      </c>
      <c r="E748" t="str">
        <f>IF($C748="","",IFERROR(INDEX(Orders!$D:$D,MATCH($C748,Orders!$A:$A,0)),""))</f>
        <v/>
      </c>
      <c r="H748" s="5"/>
      <c r="I748" s="5"/>
      <c r="J748" s="5"/>
      <c r="K748" s="5"/>
      <c r="L748" s="5" t="str">
        <f t="shared" si="11"/>
        <v/>
      </c>
    </row>
    <row r="749" spans="1:12">
      <c r="A749" s="4"/>
      <c r="D749" t="str">
        <f>IF($C749="","",IFERROR(INDEX(Orders!$B:$B,MATCH($C749,Orders!$A:$A,0)),""))</f>
        <v/>
      </c>
      <c r="E749" t="str">
        <f>IF($C749="","",IFERROR(INDEX(Orders!$D:$D,MATCH($C749,Orders!$A:$A,0)),""))</f>
        <v/>
      </c>
      <c r="H749" s="5"/>
      <c r="I749" s="5"/>
      <c r="J749" s="5"/>
      <c r="K749" s="5"/>
      <c r="L749" s="5" t="str">
        <f t="shared" si="11"/>
        <v/>
      </c>
    </row>
    <row r="750" spans="1:12">
      <c r="A750" s="4"/>
      <c r="D750" t="str">
        <f>IF($C750="","",IFERROR(INDEX(Orders!$B:$B,MATCH($C750,Orders!$A:$A,0)),""))</f>
        <v/>
      </c>
      <c r="E750" t="str">
        <f>IF($C750="","",IFERROR(INDEX(Orders!$D:$D,MATCH($C750,Orders!$A:$A,0)),""))</f>
        <v/>
      </c>
      <c r="H750" s="5"/>
      <c r="I750" s="5"/>
      <c r="J750" s="5"/>
      <c r="K750" s="5"/>
      <c r="L750" s="5" t="str">
        <f t="shared" si="11"/>
        <v/>
      </c>
    </row>
    <row r="751" spans="1:12">
      <c r="A751" s="4"/>
      <c r="D751" t="str">
        <f>IF($C751="","",IFERROR(INDEX(Orders!$B:$B,MATCH($C751,Orders!$A:$A,0)),""))</f>
        <v/>
      </c>
      <c r="E751" t="str">
        <f>IF($C751="","",IFERROR(INDEX(Orders!$D:$D,MATCH($C751,Orders!$A:$A,0)),""))</f>
        <v/>
      </c>
      <c r="H751" s="5"/>
      <c r="I751" s="5"/>
      <c r="J751" s="5"/>
      <c r="K751" s="5"/>
      <c r="L751" s="5" t="str">
        <f t="shared" si="11"/>
        <v/>
      </c>
    </row>
    <row r="752" spans="1:12">
      <c r="A752" s="4"/>
      <c r="D752" t="str">
        <f>IF($C752="","",IFERROR(INDEX(Orders!$B:$B,MATCH($C752,Orders!$A:$A,0)),""))</f>
        <v/>
      </c>
      <c r="E752" t="str">
        <f>IF($C752="","",IFERROR(INDEX(Orders!$D:$D,MATCH($C752,Orders!$A:$A,0)),""))</f>
        <v/>
      </c>
      <c r="H752" s="5"/>
      <c r="I752" s="5"/>
      <c r="J752" s="5"/>
      <c r="K752" s="5"/>
      <c r="L752" s="5" t="str">
        <f t="shared" si="11"/>
        <v/>
      </c>
    </row>
    <row r="753" spans="1:12">
      <c r="A753" s="4"/>
      <c r="D753" t="str">
        <f>IF($C753="","",IFERROR(INDEX(Orders!$B:$B,MATCH($C753,Orders!$A:$A,0)),""))</f>
        <v/>
      </c>
      <c r="E753" t="str">
        <f>IF($C753="","",IFERROR(INDEX(Orders!$D:$D,MATCH($C753,Orders!$A:$A,0)),""))</f>
        <v/>
      </c>
      <c r="H753" s="5"/>
      <c r="I753" s="5"/>
      <c r="J753" s="5"/>
      <c r="K753" s="5"/>
      <c r="L753" s="5" t="str">
        <f t="shared" si="11"/>
        <v/>
      </c>
    </row>
    <row r="754" spans="1:12">
      <c r="A754" s="4"/>
      <c r="D754" t="str">
        <f>IF($C754="","",IFERROR(INDEX(Orders!$B:$B,MATCH($C754,Orders!$A:$A,0)),""))</f>
        <v/>
      </c>
      <c r="E754" t="str">
        <f>IF($C754="","",IFERROR(INDEX(Orders!$D:$D,MATCH($C754,Orders!$A:$A,0)),""))</f>
        <v/>
      </c>
      <c r="H754" s="5"/>
      <c r="I754" s="5"/>
      <c r="J754" s="5"/>
      <c r="K754" s="5"/>
      <c r="L754" s="5" t="str">
        <f t="shared" si="11"/>
        <v/>
      </c>
    </row>
    <row r="755" spans="1:12">
      <c r="A755" s="4"/>
      <c r="D755" t="str">
        <f>IF($C755="","",IFERROR(INDEX(Orders!$B:$B,MATCH($C755,Orders!$A:$A,0)),""))</f>
        <v/>
      </c>
      <c r="E755" t="str">
        <f>IF($C755="","",IFERROR(INDEX(Orders!$D:$D,MATCH($C755,Orders!$A:$A,0)),""))</f>
        <v/>
      </c>
      <c r="H755" s="5"/>
      <c r="I755" s="5"/>
      <c r="J755" s="5"/>
      <c r="K755" s="5"/>
      <c r="L755" s="5" t="str">
        <f t="shared" si="11"/>
        <v/>
      </c>
    </row>
    <row r="756" spans="1:12">
      <c r="A756" s="4"/>
      <c r="D756" t="str">
        <f>IF($C756="","",IFERROR(INDEX(Orders!$B:$B,MATCH($C756,Orders!$A:$A,0)),""))</f>
        <v/>
      </c>
      <c r="E756" t="str">
        <f>IF($C756="","",IFERROR(INDEX(Orders!$D:$D,MATCH($C756,Orders!$A:$A,0)),""))</f>
        <v/>
      </c>
      <c r="H756" s="5"/>
      <c r="I756" s="5"/>
      <c r="J756" s="5"/>
      <c r="K756" s="5"/>
      <c r="L756" s="5" t="str">
        <f t="shared" si="11"/>
        <v/>
      </c>
    </row>
    <row r="757" spans="1:12">
      <c r="A757" s="4"/>
      <c r="D757" t="str">
        <f>IF($C757="","",IFERROR(INDEX(Orders!$B:$B,MATCH($C757,Orders!$A:$A,0)),""))</f>
        <v/>
      </c>
      <c r="E757" t="str">
        <f>IF($C757="","",IFERROR(INDEX(Orders!$D:$D,MATCH($C757,Orders!$A:$A,0)),""))</f>
        <v/>
      </c>
      <c r="H757" s="5"/>
      <c r="I757" s="5"/>
      <c r="J757" s="5"/>
      <c r="K757" s="5"/>
      <c r="L757" s="5" t="str">
        <f t="shared" si="11"/>
        <v/>
      </c>
    </row>
    <row r="758" spans="1:12">
      <c r="A758" s="4"/>
      <c r="D758" t="str">
        <f>IF($C758="","",IFERROR(INDEX(Orders!$B:$B,MATCH($C758,Orders!$A:$A,0)),""))</f>
        <v/>
      </c>
      <c r="E758" t="str">
        <f>IF($C758="","",IFERROR(INDEX(Orders!$D:$D,MATCH($C758,Orders!$A:$A,0)),""))</f>
        <v/>
      </c>
      <c r="H758" s="5"/>
      <c r="I758" s="5"/>
      <c r="J758" s="5"/>
      <c r="K758" s="5"/>
      <c r="L758" s="5" t="str">
        <f t="shared" si="11"/>
        <v/>
      </c>
    </row>
    <row r="759" spans="1:12">
      <c r="A759" s="4"/>
      <c r="D759" t="str">
        <f>IF($C759="","",IFERROR(INDEX(Orders!$B:$B,MATCH($C759,Orders!$A:$A,0)),""))</f>
        <v/>
      </c>
      <c r="E759" t="str">
        <f>IF($C759="","",IFERROR(INDEX(Orders!$D:$D,MATCH($C759,Orders!$A:$A,0)),""))</f>
        <v/>
      </c>
      <c r="H759" s="5"/>
      <c r="I759" s="5"/>
      <c r="J759" s="5"/>
      <c r="K759" s="5"/>
      <c r="L759" s="5" t="str">
        <f t="shared" si="11"/>
        <v/>
      </c>
    </row>
    <row r="760" spans="1:12">
      <c r="A760" s="4"/>
      <c r="D760" t="str">
        <f>IF($C760="","",IFERROR(INDEX(Orders!$B:$B,MATCH($C760,Orders!$A:$A,0)),""))</f>
        <v/>
      </c>
      <c r="E760" t="str">
        <f>IF($C760="","",IFERROR(INDEX(Orders!$D:$D,MATCH($C760,Orders!$A:$A,0)),""))</f>
        <v/>
      </c>
      <c r="H760" s="5"/>
      <c r="I760" s="5"/>
      <c r="J760" s="5"/>
      <c r="K760" s="5"/>
      <c r="L760" s="5" t="str">
        <f t="shared" si="11"/>
        <v/>
      </c>
    </row>
    <row r="761" spans="1:12">
      <c r="A761" s="4"/>
      <c r="D761" t="str">
        <f>IF($C761="","",IFERROR(INDEX(Orders!$B:$B,MATCH($C761,Orders!$A:$A,0)),""))</f>
        <v/>
      </c>
      <c r="E761" t="str">
        <f>IF($C761="","",IFERROR(INDEX(Orders!$D:$D,MATCH($C761,Orders!$A:$A,0)),""))</f>
        <v/>
      </c>
      <c r="H761" s="5"/>
      <c r="I761" s="5"/>
      <c r="J761" s="5"/>
      <c r="K761" s="5"/>
      <c r="L761" s="5" t="str">
        <f t="shared" si="11"/>
        <v/>
      </c>
    </row>
    <row r="762" spans="1:12">
      <c r="A762" s="4"/>
      <c r="D762" t="str">
        <f>IF($C762="","",IFERROR(INDEX(Orders!$B:$B,MATCH($C762,Orders!$A:$A,0)),""))</f>
        <v/>
      </c>
      <c r="E762" t="str">
        <f>IF($C762="","",IFERROR(INDEX(Orders!$D:$D,MATCH($C762,Orders!$A:$A,0)),""))</f>
        <v/>
      </c>
      <c r="H762" s="5"/>
      <c r="I762" s="5"/>
      <c r="J762" s="5"/>
      <c r="K762" s="5"/>
      <c r="L762" s="5" t="str">
        <f t="shared" si="11"/>
        <v/>
      </c>
    </row>
    <row r="763" spans="1:12">
      <c r="A763" s="4"/>
      <c r="D763" t="str">
        <f>IF($C763="","",IFERROR(INDEX(Orders!$B:$B,MATCH($C763,Orders!$A:$A,0)),""))</f>
        <v/>
      </c>
      <c r="E763" t="str">
        <f>IF($C763="","",IFERROR(INDEX(Orders!$D:$D,MATCH($C763,Orders!$A:$A,0)),""))</f>
        <v/>
      </c>
      <c r="H763" s="5"/>
      <c r="I763" s="5"/>
      <c r="J763" s="5"/>
      <c r="K763" s="5"/>
      <c r="L763" s="5" t="str">
        <f t="shared" si="11"/>
        <v/>
      </c>
    </row>
    <row r="764" spans="1:12">
      <c r="A764" s="4"/>
      <c r="D764" t="str">
        <f>IF($C764="","",IFERROR(INDEX(Orders!$B:$B,MATCH($C764,Orders!$A:$A,0)),""))</f>
        <v/>
      </c>
      <c r="E764" t="str">
        <f>IF($C764="","",IFERROR(INDEX(Orders!$D:$D,MATCH($C764,Orders!$A:$A,0)),""))</f>
        <v/>
      </c>
      <c r="H764" s="5"/>
      <c r="I764" s="5"/>
      <c r="J764" s="5"/>
      <c r="K764" s="5"/>
      <c r="L764" s="5" t="str">
        <f t="shared" si="11"/>
        <v/>
      </c>
    </row>
    <row r="765" spans="1:12">
      <c r="A765" s="4"/>
      <c r="D765" t="str">
        <f>IF($C765="","",IFERROR(INDEX(Orders!$B:$B,MATCH($C765,Orders!$A:$A,0)),""))</f>
        <v/>
      </c>
      <c r="E765" t="str">
        <f>IF($C765="","",IFERROR(INDEX(Orders!$D:$D,MATCH($C765,Orders!$A:$A,0)),""))</f>
        <v/>
      </c>
      <c r="H765" s="5"/>
      <c r="I765" s="5"/>
      <c r="J765" s="5"/>
      <c r="K765" s="5"/>
      <c r="L765" s="5" t="str">
        <f t="shared" si="11"/>
        <v/>
      </c>
    </row>
    <row r="766" spans="1:12">
      <c r="A766" s="4"/>
      <c r="D766" t="str">
        <f>IF($C766="","",IFERROR(INDEX(Orders!$B:$B,MATCH($C766,Orders!$A:$A,0)),""))</f>
        <v/>
      </c>
      <c r="E766" t="str">
        <f>IF($C766="","",IFERROR(INDEX(Orders!$D:$D,MATCH($C766,Orders!$A:$A,0)),""))</f>
        <v/>
      </c>
      <c r="H766" s="5"/>
      <c r="I766" s="5"/>
      <c r="J766" s="5"/>
      <c r="K766" s="5"/>
      <c r="L766" s="5" t="str">
        <f t="shared" si="11"/>
        <v/>
      </c>
    </row>
    <row r="767" spans="1:12">
      <c r="A767" s="4"/>
      <c r="D767" t="str">
        <f>IF($C767="","",IFERROR(INDEX(Orders!$B:$B,MATCH($C767,Orders!$A:$A,0)),""))</f>
        <v/>
      </c>
      <c r="E767" t="str">
        <f>IF($C767="","",IFERROR(INDEX(Orders!$D:$D,MATCH($C767,Orders!$A:$A,0)),""))</f>
        <v/>
      </c>
      <c r="H767" s="5"/>
      <c r="I767" s="5"/>
      <c r="J767" s="5"/>
      <c r="K767" s="5"/>
      <c r="L767" s="5" t="str">
        <f t="shared" si="11"/>
        <v/>
      </c>
    </row>
    <row r="768" spans="1:12">
      <c r="A768" s="4"/>
      <c r="D768" t="str">
        <f>IF($C768="","",IFERROR(INDEX(Orders!$B:$B,MATCH($C768,Orders!$A:$A,0)),""))</f>
        <v/>
      </c>
      <c r="E768" t="str">
        <f>IF($C768="","",IFERROR(INDEX(Orders!$D:$D,MATCH($C768,Orders!$A:$A,0)),""))</f>
        <v/>
      </c>
      <c r="H768" s="5"/>
      <c r="I768" s="5"/>
      <c r="J768" s="5"/>
      <c r="K768" s="5"/>
      <c r="L768" s="5" t="str">
        <f t="shared" si="11"/>
        <v/>
      </c>
    </row>
    <row r="769" spans="1:12">
      <c r="A769" s="4"/>
      <c r="D769" t="str">
        <f>IF($C769="","",IFERROR(INDEX(Orders!$B:$B,MATCH($C769,Orders!$A:$A,0)),""))</f>
        <v/>
      </c>
      <c r="E769" t="str">
        <f>IF($C769="","",IFERROR(INDEX(Orders!$D:$D,MATCH($C769,Orders!$A:$A,0)),""))</f>
        <v/>
      </c>
      <c r="H769" s="5"/>
      <c r="I769" s="5"/>
      <c r="J769" s="5"/>
      <c r="K769" s="5"/>
      <c r="L769" s="5" t="str">
        <f t="shared" si="11"/>
        <v/>
      </c>
    </row>
    <row r="770" spans="1:12">
      <c r="A770" s="4"/>
      <c r="D770" t="str">
        <f>IF($C770="","",IFERROR(INDEX(Orders!$B:$B,MATCH($C770,Orders!$A:$A,0)),""))</f>
        <v/>
      </c>
      <c r="E770" t="str">
        <f>IF($C770="","",IFERROR(INDEX(Orders!$D:$D,MATCH($C770,Orders!$A:$A,0)),""))</f>
        <v/>
      </c>
      <c r="H770" s="5"/>
      <c r="I770" s="5"/>
      <c r="J770" s="5"/>
      <c r="K770" s="5"/>
      <c r="L770" s="5" t="str">
        <f t="shared" ref="L770:L833" si="12">IF($C770="","",$H770-$I770-$K770)</f>
        <v/>
      </c>
    </row>
    <row r="771" spans="1:12">
      <c r="A771" s="4"/>
      <c r="D771" t="str">
        <f>IF($C771="","",IFERROR(INDEX(Orders!$B:$B,MATCH($C771,Orders!$A:$A,0)),""))</f>
        <v/>
      </c>
      <c r="E771" t="str">
        <f>IF($C771="","",IFERROR(INDEX(Orders!$D:$D,MATCH($C771,Orders!$A:$A,0)),""))</f>
        <v/>
      </c>
      <c r="H771" s="5"/>
      <c r="I771" s="5"/>
      <c r="J771" s="5"/>
      <c r="K771" s="5"/>
      <c r="L771" s="5" t="str">
        <f t="shared" si="12"/>
        <v/>
      </c>
    </row>
    <row r="772" spans="1:12">
      <c r="A772" s="4"/>
      <c r="D772" t="str">
        <f>IF($C772="","",IFERROR(INDEX(Orders!$B:$B,MATCH($C772,Orders!$A:$A,0)),""))</f>
        <v/>
      </c>
      <c r="E772" t="str">
        <f>IF($C772="","",IFERROR(INDEX(Orders!$D:$D,MATCH($C772,Orders!$A:$A,0)),""))</f>
        <v/>
      </c>
      <c r="H772" s="5"/>
      <c r="I772" s="5"/>
      <c r="J772" s="5"/>
      <c r="K772" s="5"/>
      <c r="L772" s="5" t="str">
        <f t="shared" si="12"/>
        <v/>
      </c>
    </row>
    <row r="773" spans="1:12">
      <c r="A773" s="4"/>
      <c r="D773" t="str">
        <f>IF($C773="","",IFERROR(INDEX(Orders!$B:$B,MATCH($C773,Orders!$A:$A,0)),""))</f>
        <v/>
      </c>
      <c r="E773" t="str">
        <f>IF($C773="","",IFERROR(INDEX(Orders!$D:$D,MATCH($C773,Orders!$A:$A,0)),""))</f>
        <v/>
      </c>
      <c r="H773" s="5"/>
      <c r="I773" s="5"/>
      <c r="J773" s="5"/>
      <c r="K773" s="5"/>
      <c r="L773" s="5" t="str">
        <f t="shared" si="12"/>
        <v/>
      </c>
    </row>
    <row r="774" spans="1:12">
      <c r="A774" s="4"/>
      <c r="D774" t="str">
        <f>IF($C774="","",IFERROR(INDEX(Orders!$B:$B,MATCH($C774,Orders!$A:$A,0)),""))</f>
        <v/>
      </c>
      <c r="E774" t="str">
        <f>IF($C774="","",IFERROR(INDEX(Orders!$D:$D,MATCH($C774,Orders!$A:$A,0)),""))</f>
        <v/>
      </c>
      <c r="H774" s="5"/>
      <c r="I774" s="5"/>
      <c r="J774" s="5"/>
      <c r="K774" s="5"/>
      <c r="L774" s="5" t="str">
        <f t="shared" si="12"/>
        <v/>
      </c>
    </row>
    <row r="775" spans="1:12">
      <c r="A775" s="4"/>
      <c r="D775" t="str">
        <f>IF($C775="","",IFERROR(INDEX(Orders!$B:$B,MATCH($C775,Orders!$A:$A,0)),""))</f>
        <v/>
      </c>
      <c r="E775" t="str">
        <f>IF($C775="","",IFERROR(INDEX(Orders!$D:$D,MATCH($C775,Orders!$A:$A,0)),""))</f>
        <v/>
      </c>
      <c r="H775" s="5"/>
      <c r="I775" s="5"/>
      <c r="J775" s="5"/>
      <c r="K775" s="5"/>
      <c r="L775" s="5" t="str">
        <f t="shared" si="12"/>
        <v/>
      </c>
    </row>
    <row r="776" spans="1:12">
      <c r="A776" s="4"/>
      <c r="D776" t="str">
        <f>IF($C776="","",IFERROR(INDEX(Orders!$B:$B,MATCH($C776,Orders!$A:$A,0)),""))</f>
        <v/>
      </c>
      <c r="E776" t="str">
        <f>IF($C776="","",IFERROR(INDEX(Orders!$D:$D,MATCH($C776,Orders!$A:$A,0)),""))</f>
        <v/>
      </c>
      <c r="H776" s="5"/>
      <c r="I776" s="5"/>
      <c r="J776" s="5"/>
      <c r="K776" s="5"/>
      <c r="L776" s="5" t="str">
        <f t="shared" si="12"/>
        <v/>
      </c>
    </row>
    <row r="777" spans="1:12">
      <c r="A777" s="4"/>
      <c r="D777" t="str">
        <f>IF($C777="","",IFERROR(INDEX(Orders!$B:$B,MATCH($C777,Orders!$A:$A,0)),""))</f>
        <v/>
      </c>
      <c r="E777" t="str">
        <f>IF($C777="","",IFERROR(INDEX(Orders!$D:$D,MATCH($C777,Orders!$A:$A,0)),""))</f>
        <v/>
      </c>
      <c r="H777" s="5"/>
      <c r="I777" s="5"/>
      <c r="J777" s="5"/>
      <c r="K777" s="5"/>
      <c r="L777" s="5" t="str">
        <f t="shared" si="12"/>
        <v/>
      </c>
    </row>
    <row r="778" spans="1:12">
      <c r="A778" s="4"/>
      <c r="D778" t="str">
        <f>IF($C778="","",IFERROR(INDEX(Orders!$B:$B,MATCH($C778,Orders!$A:$A,0)),""))</f>
        <v/>
      </c>
      <c r="E778" t="str">
        <f>IF($C778="","",IFERROR(INDEX(Orders!$D:$D,MATCH($C778,Orders!$A:$A,0)),""))</f>
        <v/>
      </c>
      <c r="H778" s="5"/>
      <c r="I778" s="5"/>
      <c r="J778" s="5"/>
      <c r="K778" s="5"/>
      <c r="L778" s="5" t="str">
        <f t="shared" si="12"/>
        <v/>
      </c>
    </row>
    <row r="779" spans="1:12">
      <c r="A779" s="4"/>
      <c r="D779" t="str">
        <f>IF($C779="","",IFERROR(INDEX(Orders!$B:$B,MATCH($C779,Orders!$A:$A,0)),""))</f>
        <v/>
      </c>
      <c r="E779" t="str">
        <f>IF($C779="","",IFERROR(INDEX(Orders!$D:$D,MATCH($C779,Orders!$A:$A,0)),""))</f>
        <v/>
      </c>
      <c r="H779" s="5"/>
      <c r="I779" s="5"/>
      <c r="J779" s="5"/>
      <c r="K779" s="5"/>
      <c r="L779" s="5" t="str">
        <f t="shared" si="12"/>
        <v/>
      </c>
    </row>
    <row r="780" spans="1:12">
      <c r="A780" s="4"/>
      <c r="D780" t="str">
        <f>IF($C780="","",IFERROR(INDEX(Orders!$B:$B,MATCH($C780,Orders!$A:$A,0)),""))</f>
        <v/>
      </c>
      <c r="E780" t="str">
        <f>IF($C780="","",IFERROR(INDEX(Orders!$D:$D,MATCH($C780,Orders!$A:$A,0)),""))</f>
        <v/>
      </c>
      <c r="H780" s="5"/>
      <c r="I780" s="5"/>
      <c r="J780" s="5"/>
      <c r="K780" s="5"/>
      <c r="L780" s="5" t="str">
        <f t="shared" si="12"/>
        <v/>
      </c>
    </row>
    <row r="781" spans="1:12">
      <c r="A781" s="4"/>
      <c r="D781" t="str">
        <f>IF($C781="","",IFERROR(INDEX(Orders!$B:$B,MATCH($C781,Orders!$A:$A,0)),""))</f>
        <v/>
      </c>
      <c r="E781" t="str">
        <f>IF($C781="","",IFERROR(INDEX(Orders!$D:$D,MATCH($C781,Orders!$A:$A,0)),""))</f>
        <v/>
      </c>
      <c r="H781" s="5"/>
      <c r="I781" s="5"/>
      <c r="J781" s="5"/>
      <c r="K781" s="5"/>
      <c r="L781" s="5" t="str">
        <f t="shared" si="12"/>
        <v/>
      </c>
    </row>
    <row r="782" spans="1:12">
      <c r="A782" s="4"/>
      <c r="D782" t="str">
        <f>IF($C782="","",IFERROR(INDEX(Orders!$B:$B,MATCH($C782,Orders!$A:$A,0)),""))</f>
        <v/>
      </c>
      <c r="E782" t="str">
        <f>IF($C782="","",IFERROR(INDEX(Orders!$D:$D,MATCH($C782,Orders!$A:$A,0)),""))</f>
        <v/>
      </c>
      <c r="H782" s="5"/>
      <c r="I782" s="5"/>
      <c r="J782" s="5"/>
      <c r="K782" s="5"/>
      <c r="L782" s="5" t="str">
        <f t="shared" si="12"/>
        <v/>
      </c>
    </row>
    <row r="783" spans="1:12">
      <c r="A783" s="4"/>
      <c r="D783" t="str">
        <f>IF($C783="","",IFERROR(INDEX(Orders!$B:$B,MATCH($C783,Orders!$A:$A,0)),""))</f>
        <v/>
      </c>
      <c r="E783" t="str">
        <f>IF($C783="","",IFERROR(INDEX(Orders!$D:$D,MATCH($C783,Orders!$A:$A,0)),""))</f>
        <v/>
      </c>
      <c r="H783" s="5"/>
      <c r="I783" s="5"/>
      <c r="J783" s="5"/>
      <c r="K783" s="5"/>
      <c r="L783" s="5" t="str">
        <f t="shared" si="12"/>
        <v/>
      </c>
    </row>
    <row r="784" spans="1:12">
      <c r="A784" s="4"/>
      <c r="D784" t="str">
        <f>IF($C784="","",IFERROR(INDEX(Orders!$B:$B,MATCH($C784,Orders!$A:$A,0)),""))</f>
        <v/>
      </c>
      <c r="E784" t="str">
        <f>IF($C784="","",IFERROR(INDEX(Orders!$D:$D,MATCH($C784,Orders!$A:$A,0)),""))</f>
        <v/>
      </c>
      <c r="H784" s="5"/>
      <c r="I784" s="5"/>
      <c r="J784" s="5"/>
      <c r="K784" s="5"/>
      <c r="L784" s="5" t="str">
        <f t="shared" si="12"/>
        <v/>
      </c>
    </row>
    <row r="785" spans="1:12">
      <c r="A785" s="4"/>
      <c r="D785" t="str">
        <f>IF($C785="","",IFERROR(INDEX(Orders!$B:$B,MATCH($C785,Orders!$A:$A,0)),""))</f>
        <v/>
      </c>
      <c r="E785" t="str">
        <f>IF($C785="","",IFERROR(INDEX(Orders!$D:$D,MATCH($C785,Orders!$A:$A,0)),""))</f>
        <v/>
      </c>
      <c r="H785" s="5"/>
      <c r="I785" s="5"/>
      <c r="J785" s="5"/>
      <c r="K785" s="5"/>
      <c r="L785" s="5" t="str">
        <f t="shared" si="12"/>
        <v/>
      </c>
    </row>
    <row r="786" spans="1:12">
      <c r="A786" s="4"/>
      <c r="D786" t="str">
        <f>IF($C786="","",IFERROR(INDEX(Orders!$B:$B,MATCH($C786,Orders!$A:$A,0)),""))</f>
        <v/>
      </c>
      <c r="E786" t="str">
        <f>IF($C786="","",IFERROR(INDEX(Orders!$D:$D,MATCH($C786,Orders!$A:$A,0)),""))</f>
        <v/>
      </c>
      <c r="H786" s="5"/>
      <c r="I786" s="5"/>
      <c r="J786" s="5"/>
      <c r="K786" s="5"/>
      <c r="L786" s="5" t="str">
        <f t="shared" si="12"/>
        <v/>
      </c>
    </row>
    <row r="787" spans="1:12">
      <c r="A787" s="4"/>
      <c r="D787" t="str">
        <f>IF($C787="","",IFERROR(INDEX(Orders!$B:$B,MATCH($C787,Orders!$A:$A,0)),""))</f>
        <v/>
      </c>
      <c r="E787" t="str">
        <f>IF($C787="","",IFERROR(INDEX(Orders!$D:$D,MATCH($C787,Orders!$A:$A,0)),""))</f>
        <v/>
      </c>
      <c r="H787" s="5"/>
      <c r="I787" s="5"/>
      <c r="J787" s="5"/>
      <c r="K787" s="5"/>
      <c r="L787" s="5" t="str">
        <f t="shared" si="12"/>
        <v/>
      </c>
    </row>
    <row r="788" spans="1:12">
      <c r="A788" s="4"/>
      <c r="D788" t="str">
        <f>IF($C788="","",IFERROR(INDEX(Orders!$B:$B,MATCH($C788,Orders!$A:$A,0)),""))</f>
        <v/>
      </c>
      <c r="E788" t="str">
        <f>IF($C788="","",IFERROR(INDEX(Orders!$D:$D,MATCH($C788,Orders!$A:$A,0)),""))</f>
        <v/>
      </c>
      <c r="H788" s="5"/>
      <c r="I788" s="5"/>
      <c r="J788" s="5"/>
      <c r="K788" s="5"/>
      <c r="L788" s="5" t="str">
        <f t="shared" si="12"/>
        <v/>
      </c>
    </row>
    <row r="789" spans="1:12">
      <c r="A789" s="4"/>
      <c r="D789" t="str">
        <f>IF($C789="","",IFERROR(INDEX(Orders!$B:$B,MATCH($C789,Orders!$A:$A,0)),""))</f>
        <v/>
      </c>
      <c r="E789" t="str">
        <f>IF($C789="","",IFERROR(INDEX(Orders!$D:$D,MATCH($C789,Orders!$A:$A,0)),""))</f>
        <v/>
      </c>
      <c r="H789" s="5"/>
      <c r="I789" s="5"/>
      <c r="J789" s="5"/>
      <c r="K789" s="5"/>
      <c r="L789" s="5" t="str">
        <f t="shared" si="12"/>
        <v/>
      </c>
    </row>
    <row r="790" spans="1:12">
      <c r="A790" s="4"/>
      <c r="D790" t="str">
        <f>IF($C790="","",IFERROR(INDEX(Orders!$B:$B,MATCH($C790,Orders!$A:$A,0)),""))</f>
        <v/>
      </c>
      <c r="E790" t="str">
        <f>IF($C790="","",IFERROR(INDEX(Orders!$D:$D,MATCH($C790,Orders!$A:$A,0)),""))</f>
        <v/>
      </c>
      <c r="H790" s="5"/>
      <c r="I790" s="5"/>
      <c r="J790" s="5"/>
      <c r="K790" s="5"/>
      <c r="L790" s="5" t="str">
        <f t="shared" si="12"/>
        <v/>
      </c>
    </row>
    <row r="791" spans="1:12">
      <c r="A791" s="4"/>
      <c r="D791" t="str">
        <f>IF($C791="","",IFERROR(INDEX(Orders!$B:$B,MATCH($C791,Orders!$A:$A,0)),""))</f>
        <v/>
      </c>
      <c r="E791" t="str">
        <f>IF($C791="","",IFERROR(INDEX(Orders!$D:$D,MATCH($C791,Orders!$A:$A,0)),""))</f>
        <v/>
      </c>
      <c r="H791" s="5"/>
      <c r="I791" s="5"/>
      <c r="J791" s="5"/>
      <c r="K791" s="5"/>
      <c r="L791" s="5" t="str">
        <f t="shared" si="12"/>
        <v/>
      </c>
    </row>
    <row r="792" spans="1:12">
      <c r="A792" s="4"/>
      <c r="D792" t="str">
        <f>IF($C792="","",IFERROR(INDEX(Orders!$B:$B,MATCH($C792,Orders!$A:$A,0)),""))</f>
        <v/>
      </c>
      <c r="E792" t="str">
        <f>IF($C792="","",IFERROR(INDEX(Orders!$D:$D,MATCH($C792,Orders!$A:$A,0)),""))</f>
        <v/>
      </c>
      <c r="H792" s="5"/>
      <c r="I792" s="5"/>
      <c r="J792" s="5"/>
      <c r="K792" s="5"/>
      <c r="L792" s="5" t="str">
        <f t="shared" si="12"/>
        <v/>
      </c>
    </row>
    <row r="793" spans="1:12">
      <c r="A793" s="4"/>
      <c r="D793" t="str">
        <f>IF($C793="","",IFERROR(INDEX(Orders!$B:$B,MATCH($C793,Orders!$A:$A,0)),""))</f>
        <v/>
      </c>
      <c r="E793" t="str">
        <f>IF($C793="","",IFERROR(INDEX(Orders!$D:$D,MATCH($C793,Orders!$A:$A,0)),""))</f>
        <v/>
      </c>
      <c r="H793" s="5"/>
      <c r="I793" s="5"/>
      <c r="J793" s="5"/>
      <c r="K793" s="5"/>
      <c r="L793" s="5" t="str">
        <f t="shared" si="12"/>
        <v/>
      </c>
    </row>
    <row r="794" spans="1:12">
      <c r="A794" s="4"/>
      <c r="D794" t="str">
        <f>IF($C794="","",IFERROR(INDEX(Orders!$B:$B,MATCH($C794,Orders!$A:$A,0)),""))</f>
        <v/>
      </c>
      <c r="E794" t="str">
        <f>IF($C794="","",IFERROR(INDEX(Orders!$D:$D,MATCH($C794,Orders!$A:$A,0)),""))</f>
        <v/>
      </c>
      <c r="H794" s="5"/>
      <c r="I794" s="5"/>
      <c r="J794" s="5"/>
      <c r="K794" s="5"/>
      <c r="L794" s="5" t="str">
        <f t="shared" si="12"/>
        <v/>
      </c>
    </row>
    <row r="795" spans="1:12">
      <c r="A795" s="4"/>
      <c r="D795" t="str">
        <f>IF($C795="","",IFERROR(INDEX(Orders!$B:$B,MATCH($C795,Orders!$A:$A,0)),""))</f>
        <v/>
      </c>
      <c r="E795" t="str">
        <f>IF($C795="","",IFERROR(INDEX(Orders!$D:$D,MATCH($C795,Orders!$A:$A,0)),""))</f>
        <v/>
      </c>
      <c r="H795" s="5"/>
      <c r="I795" s="5"/>
      <c r="J795" s="5"/>
      <c r="K795" s="5"/>
      <c r="L795" s="5" t="str">
        <f t="shared" si="12"/>
        <v/>
      </c>
    </row>
    <row r="796" spans="1:12">
      <c r="A796" s="4"/>
      <c r="D796" t="str">
        <f>IF($C796="","",IFERROR(INDEX(Orders!$B:$B,MATCH($C796,Orders!$A:$A,0)),""))</f>
        <v/>
      </c>
      <c r="E796" t="str">
        <f>IF($C796="","",IFERROR(INDEX(Orders!$D:$D,MATCH($C796,Orders!$A:$A,0)),""))</f>
        <v/>
      </c>
      <c r="H796" s="5"/>
      <c r="I796" s="5"/>
      <c r="J796" s="5"/>
      <c r="K796" s="5"/>
      <c r="L796" s="5" t="str">
        <f t="shared" si="12"/>
        <v/>
      </c>
    </row>
    <row r="797" spans="1:12">
      <c r="A797" s="4"/>
      <c r="D797" t="str">
        <f>IF($C797="","",IFERROR(INDEX(Orders!$B:$B,MATCH($C797,Orders!$A:$A,0)),""))</f>
        <v/>
      </c>
      <c r="E797" t="str">
        <f>IF($C797="","",IFERROR(INDEX(Orders!$D:$D,MATCH($C797,Orders!$A:$A,0)),""))</f>
        <v/>
      </c>
      <c r="H797" s="5"/>
      <c r="I797" s="5"/>
      <c r="J797" s="5"/>
      <c r="K797" s="5"/>
      <c r="L797" s="5" t="str">
        <f t="shared" si="12"/>
        <v/>
      </c>
    </row>
    <row r="798" spans="1:12">
      <c r="A798" s="4"/>
      <c r="D798" t="str">
        <f>IF($C798="","",IFERROR(INDEX(Orders!$B:$B,MATCH($C798,Orders!$A:$A,0)),""))</f>
        <v/>
      </c>
      <c r="E798" t="str">
        <f>IF($C798="","",IFERROR(INDEX(Orders!$D:$D,MATCH($C798,Orders!$A:$A,0)),""))</f>
        <v/>
      </c>
      <c r="H798" s="5"/>
      <c r="I798" s="5"/>
      <c r="J798" s="5"/>
      <c r="K798" s="5"/>
      <c r="L798" s="5" t="str">
        <f t="shared" si="12"/>
        <v/>
      </c>
    </row>
    <row r="799" spans="1:12">
      <c r="A799" s="4"/>
      <c r="D799" t="str">
        <f>IF($C799="","",IFERROR(INDEX(Orders!$B:$B,MATCH($C799,Orders!$A:$A,0)),""))</f>
        <v/>
      </c>
      <c r="E799" t="str">
        <f>IF($C799="","",IFERROR(INDEX(Orders!$D:$D,MATCH($C799,Orders!$A:$A,0)),""))</f>
        <v/>
      </c>
      <c r="H799" s="5"/>
      <c r="I799" s="5"/>
      <c r="J799" s="5"/>
      <c r="K799" s="5"/>
      <c r="L799" s="5" t="str">
        <f t="shared" si="12"/>
        <v/>
      </c>
    </row>
    <row r="800" spans="1:12">
      <c r="A800" s="4"/>
      <c r="D800" t="str">
        <f>IF($C800="","",IFERROR(INDEX(Orders!$B:$B,MATCH($C800,Orders!$A:$A,0)),""))</f>
        <v/>
      </c>
      <c r="E800" t="str">
        <f>IF($C800="","",IFERROR(INDEX(Orders!$D:$D,MATCH($C800,Orders!$A:$A,0)),""))</f>
        <v/>
      </c>
      <c r="H800" s="5"/>
      <c r="I800" s="5"/>
      <c r="J800" s="5"/>
      <c r="K800" s="5"/>
      <c r="L800" s="5" t="str">
        <f t="shared" si="12"/>
        <v/>
      </c>
    </row>
    <row r="801" spans="1:12">
      <c r="A801" s="4"/>
      <c r="D801" t="str">
        <f>IF($C801="","",IFERROR(INDEX(Orders!$B:$B,MATCH($C801,Orders!$A:$A,0)),""))</f>
        <v/>
      </c>
      <c r="E801" t="str">
        <f>IF($C801="","",IFERROR(INDEX(Orders!$D:$D,MATCH($C801,Orders!$A:$A,0)),""))</f>
        <v/>
      </c>
      <c r="H801" s="5"/>
      <c r="I801" s="5"/>
      <c r="J801" s="5"/>
      <c r="K801" s="5"/>
      <c r="L801" s="5" t="str">
        <f t="shared" si="12"/>
        <v/>
      </c>
    </row>
    <row r="802" spans="1:12">
      <c r="A802" s="4"/>
      <c r="D802" t="str">
        <f>IF($C802="","",IFERROR(INDEX(Orders!$B:$B,MATCH($C802,Orders!$A:$A,0)),""))</f>
        <v/>
      </c>
      <c r="E802" t="str">
        <f>IF($C802="","",IFERROR(INDEX(Orders!$D:$D,MATCH($C802,Orders!$A:$A,0)),""))</f>
        <v/>
      </c>
      <c r="H802" s="5"/>
      <c r="I802" s="5"/>
      <c r="J802" s="5"/>
      <c r="K802" s="5"/>
      <c r="L802" s="5" t="str">
        <f t="shared" si="12"/>
        <v/>
      </c>
    </row>
    <row r="803" spans="1:12">
      <c r="A803" s="4"/>
      <c r="D803" t="str">
        <f>IF($C803="","",IFERROR(INDEX(Orders!$B:$B,MATCH($C803,Orders!$A:$A,0)),""))</f>
        <v/>
      </c>
      <c r="E803" t="str">
        <f>IF($C803="","",IFERROR(INDEX(Orders!$D:$D,MATCH($C803,Orders!$A:$A,0)),""))</f>
        <v/>
      </c>
      <c r="H803" s="5"/>
      <c r="I803" s="5"/>
      <c r="J803" s="5"/>
      <c r="K803" s="5"/>
      <c r="L803" s="5" t="str">
        <f t="shared" si="12"/>
        <v/>
      </c>
    </row>
    <row r="804" spans="1:12">
      <c r="A804" s="4"/>
      <c r="D804" t="str">
        <f>IF($C804="","",IFERROR(INDEX(Orders!$B:$B,MATCH($C804,Orders!$A:$A,0)),""))</f>
        <v/>
      </c>
      <c r="E804" t="str">
        <f>IF($C804="","",IFERROR(INDEX(Orders!$D:$D,MATCH($C804,Orders!$A:$A,0)),""))</f>
        <v/>
      </c>
      <c r="H804" s="5"/>
      <c r="I804" s="5"/>
      <c r="J804" s="5"/>
      <c r="K804" s="5"/>
      <c r="L804" s="5" t="str">
        <f t="shared" si="12"/>
        <v/>
      </c>
    </row>
    <row r="805" spans="1:12">
      <c r="A805" s="4"/>
      <c r="D805" t="str">
        <f>IF($C805="","",IFERROR(INDEX(Orders!$B:$B,MATCH($C805,Orders!$A:$A,0)),""))</f>
        <v/>
      </c>
      <c r="E805" t="str">
        <f>IF($C805="","",IFERROR(INDEX(Orders!$D:$D,MATCH($C805,Orders!$A:$A,0)),""))</f>
        <v/>
      </c>
      <c r="H805" s="5"/>
      <c r="I805" s="5"/>
      <c r="J805" s="5"/>
      <c r="K805" s="5"/>
      <c r="L805" s="5" t="str">
        <f t="shared" si="12"/>
        <v/>
      </c>
    </row>
    <row r="806" spans="1:12">
      <c r="A806" s="4"/>
      <c r="D806" t="str">
        <f>IF($C806="","",IFERROR(INDEX(Orders!$B:$B,MATCH($C806,Orders!$A:$A,0)),""))</f>
        <v/>
      </c>
      <c r="E806" t="str">
        <f>IF($C806="","",IFERROR(INDEX(Orders!$D:$D,MATCH($C806,Orders!$A:$A,0)),""))</f>
        <v/>
      </c>
      <c r="H806" s="5"/>
      <c r="I806" s="5"/>
      <c r="J806" s="5"/>
      <c r="K806" s="5"/>
      <c r="L806" s="5" t="str">
        <f t="shared" si="12"/>
        <v/>
      </c>
    </row>
    <row r="807" spans="1:12">
      <c r="A807" s="4"/>
      <c r="D807" t="str">
        <f>IF($C807="","",IFERROR(INDEX(Orders!$B:$B,MATCH($C807,Orders!$A:$A,0)),""))</f>
        <v/>
      </c>
      <c r="E807" t="str">
        <f>IF($C807="","",IFERROR(INDEX(Orders!$D:$D,MATCH($C807,Orders!$A:$A,0)),""))</f>
        <v/>
      </c>
      <c r="H807" s="5"/>
      <c r="I807" s="5"/>
      <c r="J807" s="5"/>
      <c r="K807" s="5"/>
      <c r="L807" s="5" t="str">
        <f t="shared" si="12"/>
        <v/>
      </c>
    </row>
    <row r="808" spans="1:12">
      <c r="A808" s="4"/>
      <c r="D808" t="str">
        <f>IF($C808="","",IFERROR(INDEX(Orders!$B:$B,MATCH($C808,Orders!$A:$A,0)),""))</f>
        <v/>
      </c>
      <c r="E808" t="str">
        <f>IF($C808="","",IFERROR(INDEX(Orders!$D:$D,MATCH($C808,Orders!$A:$A,0)),""))</f>
        <v/>
      </c>
      <c r="H808" s="5"/>
      <c r="I808" s="5"/>
      <c r="J808" s="5"/>
      <c r="K808" s="5"/>
      <c r="L808" s="5" t="str">
        <f t="shared" si="12"/>
        <v/>
      </c>
    </row>
    <row r="809" spans="1:12">
      <c r="A809" s="4"/>
      <c r="D809" t="str">
        <f>IF($C809="","",IFERROR(INDEX(Orders!$B:$B,MATCH($C809,Orders!$A:$A,0)),""))</f>
        <v/>
      </c>
      <c r="E809" t="str">
        <f>IF($C809="","",IFERROR(INDEX(Orders!$D:$D,MATCH($C809,Orders!$A:$A,0)),""))</f>
        <v/>
      </c>
      <c r="H809" s="5"/>
      <c r="I809" s="5"/>
      <c r="J809" s="5"/>
      <c r="K809" s="5"/>
      <c r="L809" s="5" t="str">
        <f t="shared" si="12"/>
        <v/>
      </c>
    </row>
    <row r="810" spans="1:12">
      <c r="A810" s="4"/>
      <c r="D810" t="str">
        <f>IF($C810="","",IFERROR(INDEX(Orders!$B:$B,MATCH($C810,Orders!$A:$A,0)),""))</f>
        <v/>
      </c>
      <c r="E810" t="str">
        <f>IF($C810="","",IFERROR(INDEX(Orders!$D:$D,MATCH($C810,Orders!$A:$A,0)),""))</f>
        <v/>
      </c>
      <c r="H810" s="5"/>
      <c r="I810" s="5"/>
      <c r="J810" s="5"/>
      <c r="K810" s="5"/>
      <c r="L810" s="5" t="str">
        <f t="shared" si="12"/>
        <v/>
      </c>
    </row>
    <row r="811" spans="1:12">
      <c r="A811" s="4"/>
      <c r="D811" t="str">
        <f>IF($C811="","",IFERROR(INDEX(Orders!$B:$B,MATCH($C811,Orders!$A:$A,0)),""))</f>
        <v/>
      </c>
      <c r="E811" t="str">
        <f>IF($C811="","",IFERROR(INDEX(Orders!$D:$D,MATCH($C811,Orders!$A:$A,0)),""))</f>
        <v/>
      </c>
      <c r="H811" s="5"/>
      <c r="I811" s="5"/>
      <c r="J811" s="5"/>
      <c r="K811" s="5"/>
      <c r="L811" s="5" t="str">
        <f t="shared" si="12"/>
        <v/>
      </c>
    </row>
    <row r="812" spans="1:12">
      <c r="A812" s="4"/>
      <c r="D812" t="str">
        <f>IF($C812="","",IFERROR(INDEX(Orders!$B:$B,MATCH($C812,Orders!$A:$A,0)),""))</f>
        <v/>
      </c>
      <c r="E812" t="str">
        <f>IF($C812="","",IFERROR(INDEX(Orders!$D:$D,MATCH($C812,Orders!$A:$A,0)),""))</f>
        <v/>
      </c>
      <c r="H812" s="5"/>
      <c r="I812" s="5"/>
      <c r="J812" s="5"/>
      <c r="K812" s="5"/>
      <c r="L812" s="5" t="str">
        <f t="shared" si="12"/>
        <v/>
      </c>
    </row>
    <row r="813" spans="1:12">
      <c r="A813" s="4"/>
      <c r="D813" t="str">
        <f>IF($C813="","",IFERROR(INDEX(Orders!$B:$B,MATCH($C813,Orders!$A:$A,0)),""))</f>
        <v/>
      </c>
      <c r="E813" t="str">
        <f>IF($C813="","",IFERROR(INDEX(Orders!$D:$D,MATCH($C813,Orders!$A:$A,0)),""))</f>
        <v/>
      </c>
      <c r="H813" s="5"/>
      <c r="I813" s="5"/>
      <c r="J813" s="5"/>
      <c r="K813" s="5"/>
      <c r="L813" s="5" t="str">
        <f t="shared" si="12"/>
        <v/>
      </c>
    </row>
    <row r="814" spans="1:12">
      <c r="A814" s="4"/>
      <c r="D814" t="str">
        <f>IF($C814="","",IFERROR(INDEX(Orders!$B:$B,MATCH($C814,Orders!$A:$A,0)),""))</f>
        <v/>
      </c>
      <c r="E814" t="str">
        <f>IF($C814="","",IFERROR(INDEX(Orders!$D:$D,MATCH($C814,Orders!$A:$A,0)),""))</f>
        <v/>
      </c>
      <c r="H814" s="5"/>
      <c r="I814" s="5"/>
      <c r="J814" s="5"/>
      <c r="K814" s="5"/>
      <c r="L814" s="5" t="str">
        <f t="shared" si="12"/>
        <v/>
      </c>
    </row>
    <row r="815" spans="1:12">
      <c r="A815" s="4"/>
      <c r="D815" t="str">
        <f>IF($C815="","",IFERROR(INDEX(Orders!$B:$B,MATCH($C815,Orders!$A:$A,0)),""))</f>
        <v/>
      </c>
      <c r="E815" t="str">
        <f>IF($C815="","",IFERROR(INDEX(Orders!$D:$D,MATCH($C815,Orders!$A:$A,0)),""))</f>
        <v/>
      </c>
      <c r="H815" s="5"/>
      <c r="I815" s="5"/>
      <c r="J815" s="5"/>
      <c r="K815" s="5"/>
      <c r="L815" s="5" t="str">
        <f t="shared" si="12"/>
        <v/>
      </c>
    </row>
    <row r="816" spans="1:12">
      <c r="A816" s="4"/>
      <c r="D816" t="str">
        <f>IF($C816="","",IFERROR(INDEX(Orders!$B:$B,MATCH($C816,Orders!$A:$A,0)),""))</f>
        <v/>
      </c>
      <c r="E816" t="str">
        <f>IF($C816="","",IFERROR(INDEX(Orders!$D:$D,MATCH($C816,Orders!$A:$A,0)),""))</f>
        <v/>
      </c>
      <c r="H816" s="5"/>
      <c r="I816" s="5"/>
      <c r="J816" s="5"/>
      <c r="K816" s="5"/>
      <c r="L816" s="5" t="str">
        <f t="shared" si="12"/>
        <v/>
      </c>
    </row>
    <row r="817" spans="1:12">
      <c r="A817" s="4"/>
      <c r="D817" t="str">
        <f>IF($C817="","",IFERROR(INDEX(Orders!$B:$B,MATCH($C817,Orders!$A:$A,0)),""))</f>
        <v/>
      </c>
      <c r="E817" t="str">
        <f>IF($C817="","",IFERROR(INDEX(Orders!$D:$D,MATCH($C817,Orders!$A:$A,0)),""))</f>
        <v/>
      </c>
      <c r="H817" s="5"/>
      <c r="I817" s="5"/>
      <c r="J817" s="5"/>
      <c r="K817" s="5"/>
      <c r="L817" s="5" t="str">
        <f t="shared" si="12"/>
        <v/>
      </c>
    </row>
    <row r="818" spans="1:12">
      <c r="A818" s="4"/>
      <c r="D818" t="str">
        <f>IF($C818="","",IFERROR(INDEX(Orders!$B:$B,MATCH($C818,Orders!$A:$A,0)),""))</f>
        <v/>
      </c>
      <c r="E818" t="str">
        <f>IF($C818="","",IFERROR(INDEX(Orders!$D:$D,MATCH($C818,Orders!$A:$A,0)),""))</f>
        <v/>
      </c>
      <c r="H818" s="5"/>
      <c r="I818" s="5"/>
      <c r="J818" s="5"/>
      <c r="K818" s="5"/>
      <c r="L818" s="5" t="str">
        <f t="shared" si="12"/>
        <v/>
      </c>
    </row>
    <row r="819" spans="1:12">
      <c r="A819" s="4"/>
      <c r="D819" t="str">
        <f>IF($C819="","",IFERROR(INDEX(Orders!$B:$B,MATCH($C819,Orders!$A:$A,0)),""))</f>
        <v/>
      </c>
      <c r="E819" t="str">
        <f>IF($C819="","",IFERROR(INDEX(Orders!$D:$D,MATCH($C819,Orders!$A:$A,0)),""))</f>
        <v/>
      </c>
      <c r="H819" s="5"/>
      <c r="I819" s="5"/>
      <c r="J819" s="5"/>
      <c r="K819" s="5"/>
      <c r="L819" s="5" t="str">
        <f t="shared" si="12"/>
        <v/>
      </c>
    </row>
    <row r="820" spans="1:12">
      <c r="A820" s="4"/>
      <c r="D820" t="str">
        <f>IF($C820="","",IFERROR(INDEX(Orders!$B:$B,MATCH($C820,Orders!$A:$A,0)),""))</f>
        <v/>
      </c>
      <c r="E820" t="str">
        <f>IF($C820="","",IFERROR(INDEX(Orders!$D:$D,MATCH($C820,Orders!$A:$A,0)),""))</f>
        <v/>
      </c>
      <c r="H820" s="5"/>
      <c r="I820" s="5"/>
      <c r="J820" s="5"/>
      <c r="K820" s="5"/>
      <c r="L820" s="5" t="str">
        <f t="shared" si="12"/>
        <v/>
      </c>
    </row>
    <row r="821" spans="1:12">
      <c r="A821" s="4"/>
      <c r="D821" t="str">
        <f>IF($C821="","",IFERROR(INDEX(Orders!$B:$B,MATCH($C821,Orders!$A:$A,0)),""))</f>
        <v/>
      </c>
      <c r="E821" t="str">
        <f>IF($C821="","",IFERROR(INDEX(Orders!$D:$D,MATCH($C821,Orders!$A:$A,0)),""))</f>
        <v/>
      </c>
      <c r="H821" s="5"/>
      <c r="I821" s="5"/>
      <c r="J821" s="5"/>
      <c r="K821" s="5"/>
      <c r="L821" s="5" t="str">
        <f t="shared" si="12"/>
        <v/>
      </c>
    </row>
    <row r="822" spans="1:12">
      <c r="A822" s="4"/>
      <c r="D822" t="str">
        <f>IF($C822="","",IFERROR(INDEX(Orders!$B:$B,MATCH($C822,Orders!$A:$A,0)),""))</f>
        <v/>
      </c>
      <c r="E822" t="str">
        <f>IF($C822="","",IFERROR(INDEX(Orders!$D:$D,MATCH($C822,Orders!$A:$A,0)),""))</f>
        <v/>
      </c>
      <c r="H822" s="5"/>
      <c r="I822" s="5"/>
      <c r="J822" s="5"/>
      <c r="K822" s="5"/>
      <c r="L822" s="5" t="str">
        <f t="shared" si="12"/>
        <v/>
      </c>
    </row>
    <row r="823" spans="1:12">
      <c r="A823" s="4"/>
      <c r="D823" t="str">
        <f>IF($C823="","",IFERROR(INDEX(Orders!$B:$B,MATCH($C823,Orders!$A:$A,0)),""))</f>
        <v/>
      </c>
      <c r="E823" t="str">
        <f>IF($C823="","",IFERROR(INDEX(Orders!$D:$D,MATCH($C823,Orders!$A:$A,0)),""))</f>
        <v/>
      </c>
      <c r="H823" s="5"/>
      <c r="I823" s="5"/>
      <c r="J823" s="5"/>
      <c r="K823" s="5"/>
      <c r="L823" s="5" t="str">
        <f t="shared" si="12"/>
        <v/>
      </c>
    </row>
    <row r="824" spans="1:12">
      <c r="A824" s="4"/>
      <c r="D824" t="str">
        <f>IF($C824="","",IFERROR(INDEX(Orders!$B:$B,MATCH($C824,Orders!$A:$A,0)),""))</f>
        <v/>
      </c>
      <c r="E824" t="str">
        <f>IF($C824="","",IFERROR(INDEX(Orders!$D:$D,MATCH($C824,Orders!$A:$A,0)),""))</f>
        <v/>
      </c>
      <c r="H824" s="5"/>
      <c r="I824" s="5"/>
      <c r="J824" s="5"/>
      <c r="K824" s="5"/>
      <c r="L824" s="5" t="str">
        <f t="shared" si="12"/>
        <v/>
      </c>
    </row>
    <row r="825" spans="1:12">
      <c r="A825" s="4"/>
      <c r="D825" t="str">
        <f>IF($C825="","",IFERROR(INDEX(Orders!$B:$B,MATCH($C825,Orders!$A:$A,0)),""))</f>
        <v/>
      </c>
      <c r="E825" t="str">
        <f>IF($C825="","",IFERROR(INDEX(Orders!$D:$D,MATCH($C825,Orders!$A:$A,0)),""))</f>
        <v/>
      </c>
      <c r="H825" s="5"/>
      <c r="I825" s="5"/>
      <c r="J825" s="5"/>
      <c r="K825" s="5"/>
      <c r="L825" s="5" t="str">
        <f t="shared" si="12"/>
        <v/>
      </c>
    </row>
    <row r="826" spans="1:12">
      <c r="A826" s="4"/>
      <c r="D826" t="str">
        <f>IF($C826="","",IFERROR(INDEX(Orders!$B:$B,MATCH($C826,Orders!$A:$A,0)),""))</f>
        <v/>
      </c>
      <c r="E826" t="str">
        <f>IF($C826="","",IFERROR(INDEX(Orders!$D:$D,MATCH($C826,Orders!$A:$A,0)),""))</f>
        <v/>
      </c>
      <c r="H826" s="5"/>
      <c r="I826" s="5"/>
      <c r="J826" s="5"/>
      <c r="K826" s="5"/>
      <c r="L826" s="5" t="str">
        <f t="shared" si="12"/>
        <v/>
      </c>
    </row>
    <row r="827" spans="1:12">
      <c r="A827" s="4"/>
      <c r="D827" t="str">
        <f>IF($C827="","",IFERROR(INDEX(Orders!$B:$B,MATCH($C827,Orders!$A:$A,0)),""))</f>
        <v/>
      </c>
      <c r="E827" t="str">
        <f>IF($C827="","",IFERROR(INDEX(Orders!$D:$D,MATCH($C827,Orders!$A:$A,0)),""))</f>
        <v/>
      </c>
      <c r="H827" s="5"/>
      <c r="I827" s="5"/>
      <c r="J827" s="5"/>
      <c r="K827" s="5"/>
      <c r="L827" s="5" t="str">
        <f t="shared" si="12"/>
        <v/>
      </c>
    </row>
    <row r="828" spans="1:12">
      <c r="A828" s="4"/>
      <c r="D828" t="str">
        <f>IF($C828="","",IFERROR(INDEX(Orders!$B:$B,MATCH($C828,Orders!$A:$A,0)),""))</f>
        <v/>
      </c>
      <c r="E828" t="str">
        <f>IF($C828="","",IFERROR(INDEX(Orders!$D:$D,MATCH($C828,Orders!$A:$A,0)),""))</f>
        <v/>
      </c>
      <c r="H828" s="5"/>
      <c r="I828" s="5"/>
      <c r="J828" s="5"/>
      <c r="K828" s="5"/>
      <c r="L828" s="5" t="str">
        <f t="shared" si="12"/>
        <v/>
      </c>
    </row>
    <row r="829" spans="1:12">
      <c r="A829" s="4"/>
      <c r="D829" t="str">
        <f>IF($C829="","",IFERROR(INDEX(Orders!$B:$B,MATCH($C829,Orders!$A:$A,0)),""))</f>
        <v/>
      </c>
      <c r="E829" t="str">
        <f>IF($C829="","",IFERROR(INDEX(Orders!$D:$D,MATCH($C829,Orders!$A:$A,0)),""))</f>
        <v/>
      </c>
      <c r="H829" s="5"/>
      <c r="I829" s="5"/>
      <c r="J829" s="5"/>
      <c r="K829" s="5"/>
      <c r="L829" s="5" t="str">
        <f t="shared" si="12"/>
        <v/>
      </c>
    </row>
    <row r="830" spans="1:12">
      <c r="A830" s="4"/>
      <c r="D830" t="str">
        <f>IF($C830="","",IFERROR(INDEX(Orders!$B:$B,MATCH($C830,Orders!$A:$A,0)),""))</f>
        <v/>
      </c>
      <c r="E830" t="str">
        <f>IF($C830="","",IFERROR(INDEX(Orders!$D:$D,MATCH($C830,Orders!$A:$A,0)),""))</f>
        <v/>
      </c>
      <c r="H830" s="5"/>
      <c r="I830" s="5"/>
      <c r="J830" s="5"/>
      <c r="K830" s="5"/>
      <c r="L830" s="5" t="str">
        <f t="shared" si="12"/>
        <v/>
      </c>
    </row>
    <row r="831" spans="1:12">
      <c r="A831" s="4"/>
      <c r="D831" t="str">
        <f>IF($C831="","",IFERROR(INDEX(Orders!$B:$B,MATCH($C831,Orders!$A:$A,0)),""))</f>
        <v/>
      </c>
      <c r="E831" t="str">
        <f>IF($C831="","",IFERROR(INDEX(Orders!$D:$D,MATCH($C831,Orders!$A:$A,0)),""))</f>
        <v/>
      </c>
      <c r="H831" s="5"/>
      <c r="I831" s="5"/>
      <c r="J831" s="5"/>
      <c r="K831" s="5"/>
      <c r="L831" s="5" t="str">
        <f t="shared" si="12"/>
        <v/>
      </c>
    </row>
    <row r="832" spans="1:12">
      <c r="A832" s="4"/>
      <c r="D832" t="str">
        <f>IF($C832="","",IFERROR(INDEX(Orders!$B:$B,MATCH($C832,Orders!$A:$A,0)),""))</f>
        <v/>
      </c>
      <c r="E832" t="str">
        <f>IF($C832="","",IFERROR(INDEX(Orders!$D:$D,MATCH($C832,Orders!$A:$A,0)),""))</f>
        <v/>
      </c>
      <c r="H832" s="5"/>
      <c r="I832" s="5"/>
      <c r="J832" s="5"/>
      <c r="K832" s="5"/>
      <c r="L832" s="5" t="str">
        <f t="shared" si="12"/>
        <v/>
      </c>
    </row>
    <row r="833" spans="1:12">
      <c r="A833" s="4"/>
      <c r="D833" t="str">
        <f>IF($C833="","",IFERROR(INDEX(Orders!$B:$B,MATCH($C833,Orders!$A:$A,0)),""))</f>
        <v/>
      </c>
      <c r="E833" t="str">
        <f>IF($C833="","",IFERROR(INDEX(Orders!$D:$D,MATCH($C833,Orders!$A:$A,0)),""))</f>
        <v/>
      </c>
      <c r="H833" s="5"/>
      <c r="I833" s="5"/>
      <c r="J833" s="5"/>
      <c r="K833" s="5"/>
      <c r="L833" s="5" t="str">
        <f t="shared" si="12"/>
        <v/>
      </c>
    </row>
    <row r="834" spans="1:12">
      <c r="A834" s="4"/>
      <c r="D834" t="str">
        <f>IF($C834="","",IFERROR(INDEX(Orders!$B:$B,MATCH($C834,Orders!$A:$A,0)),""))</f>
        <v/>
      </c>
      <c r="E834" t="str">
        <f>IF($C834="","",IFERROR(INDEX(Orders!$D:$D,MATCH($C834,Orders!$A:$A,0)),""))</f>
        <v/>
      </c>
      <c r="H834" s="5"/>
      <c r="I834" s="5"/>
      <c r="J834" s="5"/>
      <c r="K834" s="5"/>
      <c r="L834" s="5" t="str">
        <f t="shared" ref="L834:L897" si="13">IF($C834="","",$H834-$I834-$K834)</f>
        <v/>
      </c>
    </row>
    <row r="835" spans="1:12">
      <c r="A835" s="4"/>
      <c r="D835" t="str">
        <f>IF($C835="","",IFERROR(INDEX(Orders!$B:$B,MATCH($C835,Orders!$A:$A,0)),""))</f>
        <v/>
      </c>
      <c r="E835" t="str">
        <f>IF($C835="","",IFERROR(INDEX(Orders!$D:$D,MATCH($C835,Orders!$A:$A,0)),""))</f>
        <v/>
      </c>
      <c r="H835" s="5"/>
      <c r="I835" s="5"/>
      <c r="J835" s="5"/>
      <c r="K835" s="5"/>
      <c r="L835" s="5" t="str">
        <f t="shared" si="13"/>
        <v/>
      </c>
    </row>
    <row r="836" spans="1:12">
      <c r="A836" s="4"/>
      <c r="D836" t="str">
        <f>IF($C836="","",IFERROR(INDEX(Orders!$B:$B,MATCH($C836,Orders!$A:$A,0)),""))</f>
        <v/>
      </c>
      <c r="E836" t="str">
        <f>IF($C836="","",IFERROR(INDEX(Orders!$D:$D,MATCH($C836,Orders!$A:$A,0)),""))</f>
        <v/>
      </c>
      <c r="H836" s="5"/>
      <c r="I836" s="5"/>
      <c r="J836" s="5"/>
      <c r="K836" s="5"/>
      <c r="L836" s="5" t="str">
        <f t="shared" si="13"/>
        <v/>
      </c>
    </row>
    <row r="837" spans="1:12">
      <c r="A837" s="4"/>
      <c r="D837" t="str">
        <f>IF($C837="","",IFERROR(INDEX(Orders!$B:$B,MATCH($C837,Orders!$A:$A,0)),""))</f>
        <v/>
      </c>
      <c r="E837" t="str">
        <f>IF($C837="","",IFERROR(INDEX(Orders!$D:$D,MATCH($C837,Orders!$A:$A,0)),""))</f>
        <v/>
      </c>
      <c r="H837" s="5"/>
      <c r="I837" s="5"/>
      <c r="J837" s="5"/>
      <c r="K837" s="5"/>
      <c r="L837" s="5" t="str">
        <f t="shared" si="13"/>
        <v/>
      </c>
    </row>
    <row r="838" spans="1:12">
      <c r="A838" s="4"/>
      <c r="D838" t="str">
        <f>IF($C838="","",IFERROR(INDEX(Orders!$B:$B,MATCH($C838,Orders!$A:$A,0)),""))</f>
        <v/>
      </c>
      <c r="E838" t="str">
        <f>IF($C838="","",IFERROR(INDEX(Orders!$D:$D,MATCH($C838,Orders!$A:$A,0)),""))</f>
        <v/>
      </c>
      <c r="H838" s="5"/>
      <c r="I838" s="5"/>
      <c r="J838" s="5"/>
      <c r="K838" s="5"/>
      <c r="L838" s="5" t="str">
        <f t="shared" si="13"/>
        <v/>
      </c>
    </row>
    <row r="839" spans="1:12">
      <c r="A839" s="4"/>
      <c r="D839" t="str">
        <f>IF($C839="","",IFERROR(INDEX(Orders!$B:$B,MATCH($C839,Orders!$A:$A,0)),""))</f>
        <v/>
      </c>
      <c r="E839" t="str">
        <f>IF($C839="","",IFERROR(INDEX(Orders!$D:$D,MATCH($C839,Orders!$A:$A,0)),""))</f>
        <v/>
      </c>
      <c r="H839" s="5"/>
      <c r="I839" s="5"/>
      <c r="J839" s="5"/>
      <c r="K839" s="5"/>
      <c r="L839" s="5" t="str">
        <f t="shared" si="13"/>
        <v/>
      </c>
    </row>
    <row r="840" spans="1:12">
      <c r="A840" s="4"/>
      <c r="D840" t="str">
        <f>IF($C840="","",IFERROR(INDEX(Orders!$B:$B,MATCH($C840,Orders!$A:$A,0)),""))</f>
        <v/>
      </c>
      <c r="E840" t="str">
        <f>IF($C840="","",IFERROR(INDEX(Orders!$D:$D,MATCH($C840,Orders!$A:$A,0)),""))</f>
        <v/>
      </c>
      <c r="H840" s="5"/>
      <c r="I840" s="5"/>
      <c r="J840" s="5"/>
      <c r="K840" s="5"/>
      <c r="L840" s="5" t="str">
        <f t="shared" si="13"/>
        <v/>
      </c>
    </row>
    <row r="841" spans="1:12">
      <c r="A841" s="4"/>
      <c r="D841" t="str">
        <f>IF($C841="","",IFERROR(INDEX(Orders!$B:$B,MATCH($C841,Orders!$A:$A,0)),""))</f>
        <v/>
      </c>
      <c r="E841" t="str">
        <f>IF($C841="","",IFERROR(INDEX(Orders!$D:$D,MATCH($C841,Orders!$A:$A,0)),""))</f>
        <v/>
      </c>
      <c r="H841" s="5"/>
      <c r="I841" s="5"/>
      <c r="J841" s="5"/>
      <c r="K841" s="5"/>
      <c r="L841" s="5" t="str">
        <f t="shared" si="13"/>
        <v/>
      </c>
    </row>
    <row r="842" spans="1:12">
      <c r="A842" s="4"/>
      <c r="D842" t="str">
        <f>IF($C842="","",IFERROR(INDEX(Orders!$B:$B,MATCH($C842,Orders!$A:$A,0)),""))</f>
        <v/>
      </c>
      <c r="E842" t="str">
        <f>IF($C842="","",IFERROR(INDEX(Orders!$D:$D,MATCH($C842,Orders!$A:$A,0)),""))</f>
        <v/>
      </c>
      <c r="H842" s="5"/>
      <c r="I842" s="5"/>
      <c r="J842" s="5"/>
      <c r="K842" s="5"/>
      <c r="L842" s="5" t="str">
        <f t="shared" si="13"/>
        <v/>
      </c>
    </row>
    <row r="843" spans="1:12">
      <c r="A843" s="4"/>
      <c r="D843" t="str">
        <f>IF($C843="","",IFERROR(INDEX(Orders!$B:$B,MATCH($C843,Orders!$A:$A,0)),""))</f>
        <v/>
      </c>
      <c r="E843" t="str">
        <f>IF($C843="","",IFERROR(INDEX(Orders!$D:$D,MATCH($C843,Orders!$A:$A,0)),""))</f>
        <v/>
      </c>
      <c r="H843" s="5"/>
      <c r="I843" s="5"/>
      <c r="J843" s="5"/>
      <c r="K843" s="5"/>
      <c r="L843" s="5" t="str">
        <f t="shared" si="13"/>
        <v/>
      </c>
    </row>
    <row r="844" spans="1:12">
      <c r="A844" s="4"/>
      <c r="D844" t="str">
        <f>IF($C844="","",IFERROR(INDEX(Orders!$B:$B,MATCH($C844,Orders!$A:$A,0)),""))</f>
        <v/>
      </c>
      <c r="E844" t="str">
        <f>IF($C844="","",IFERROR(INDEX(Orders!$D:$D,MATCH($C844,Orders!$A:$A,0)),""))</f>
        <v/>
      </c>
      <c r="H844" s="5"/>
      <c r="I844" s="5"/>
      <c r="J844" s="5"/>
      <c r="K844" s="5"/>
      <c r="L844" s="5" t="str">
        <f t="shared" si="13"/>
        <v/>
      </c>
    </row>
    <row r="845" spans="1:12">
      <c r="A845" s="4"/>
      <c r="D845" t="str">
        <f>IF($C845="","",IFERROR(INDEX(Orders!$B:$B,MATCH($C845,Orders!$A:$A,0)),""))</f>
        <v/>
      </c>
      <c r="E845" t="str">
        <f>IF($C845="","",IFERROR(INDEX(Orders!$D:$D,MATCH($C845,Orders!$A:$A,0)),""))</f>
        <v/>
      </c>
      <c r="H845" s="5"/>
      <c r="I845" s="5"/>
      <c r="J845" s="5"/>
      <c r="K845" s="5"/>
      <c r="L845" s="5" t="str">
        <f t="shared" si="13"/>
        <v/>
      </c>
    </row>
    <row r="846" spans="1:12">
      <c r="A846" s="4"/>
      <c r="D846" t="str">
        <f>IF($C846="","",IFERROR(INDEX(Orders!$B:$B,MATCH($C846,Orders!$A:$A,0)),""))</f>
        <v/>
      </c>
      <c r="E846" t="str">
        <f>IF($C846="","",IFERROR(INDEX(Orders!$D:$D,MATCH($C846,Orders!$A:$A,0)),""))</f>
        <v/>
      </c>
      <c r="H846" s="5"/>
      <c r="I846" s="5"/>
      <c r="J846" s="5"/>
      <c r="K846" s="5"/>
      <c r="L846" s="5" t="str">
        <f t="shared" si="13"/>
        <v/>
      </c>
    </row>
    <row r="847" spans="1:12">
      <c r="A847" s="4"/>
      <c r="D847" t="str">
        <f>IF($C847="","",IFERROR(INDEX(Orders!$B:$B,MATCH($C847,Orders!$A:$A,0)),""))</f>
        <v/>
      </c>
      <c r="E847" t="str">
        <f>IF($C847="","",IFERROR(INDEX(Orders!$D:$D,MATCH($C847,Orders!$A:$A,0)),""))</f>
        <v/>
      </c>
      <c r="H847" s="5"/>
      <c r="I847" s="5"/>
      <c r="J847" s="5"/>
      <c r="K847" s="5"/>
      <c r="L847" s="5" t="str">
        <f t="shared" si="13"/>
        <v/>
      </c>
    </row>
    <row r="848" spans="1:12">
      <c r="A848" s="4"/>
      <c r="D848" t="str">
        <f>IF($C848="","",IFERROR(INDEX(Orders!$B:$B,MATCH($C848,Orders!$A:$A,0)),""))</f>
        <v/>
      </c>
      <c r="E848" t="str">
        <f>IF($C848="","",IFERROR(INDEX(Orders!$D:$D,MATCH($C848,Orders!$A:$A,0)),""))</f>
        <v/>
      </c>
      <c r="H848" s="5"/>
      <c r="I848" s="5"/>
      <c r="J848" s="5"/>
      <c r="K848" s="5"/>
      <c r="L848" s="5" t="str">
        <f t="shared" si="13"/>
        <v/>
      </c>
    </row>
    <row r="849" spans="1:12">
      <c r="A849" s="4"/>
      <c r="D849" t="str">
        <f>IF($C849="","",IFERROR(INDEX(Orders!$B:$B,MATCH($C849,Orders!$A:$A,0)),""))</f>
        <v/>
      </c>
      <c r="E849" t="str">
        <f>IF($C849="","",IFERROR(INDEX(Orders!$D:$D,MATCH($C849,Orders!$A:$A,0)),""))</f>
        <v/>
      </c>
      <c r="H849" s="5"/>
      <c r="I849" s="5"/>
      <c r="J849" s="5"/>
      <c r="K849" s="5"/>
      <c r="L849" s="5" t="str">
        <f t="shared" si="13"/>
        <v/>
      </c>
    </row>
    <row r="850" spans="1:12">
      <c r="A850" s="4"/>
      <c r="D850" t="str">
        <f>IF($C850="","",IFERROR(INDEX(Orders!$B:$B,MATCH($C850,Orders!$A:$A,0)),""))</f>
        <v/>
      </c>
      <c r="E850" t="str">
        <f>IF($C850="","",IFERROR(INDEX(Orders!$D:$D,MATCH($C850,Orders!$A:$A,0)),""))</f>
        <v/>
      </c>
      <c r="H850" s="5"/>
      <c r="I850" s="5"/>
      <c r="J850" s="5"/>
      <c r="K850" s="5"/>
      <c r="L850" s="5" t="str">
        <f t="shared" si="13"/>
        <v/>
      </c>
    </row>
    <row r="851" spans="1:12">
      <c r="A851" s="4"/>
      <c r="D851" t="str">
        <f>IF($C851="","",IFERROR(INDEX(Orders!$B:$B,MATCH($C851,Orders!$A:$A,0)),""))</f>
        <v/>
      </c>
      <c r="E851" t="str">
        <f>IF($C851="","",IFERROR(INDEX(Orders!$D:$D,MATCH($C851,Orders!$A:$A,0)),""))</f>
        <v/>
      </c>
      <c r="H851" s="5"/>
      <c r="I851" s="5"/>
      <c r="J851" s="5"/>
      <c r="K851" s="5"/>
      <c r="L851" s="5" t="str">
        <f t="shared" si="13"/>
        <v/>
      </c>
    </row>
    <row r="852" spans="1:12">
      <c r="A852" s="4"/>
      <c r="D852" t="str">
        <f>IF($C852="","",IFERROR(INDEX(Orders!$B:$B,MATCH($C852,Orders!$A:$A,0)),""))</f>
        <v/>
      </c>
      <c r="E852" t="str">
        <f>IF($C852="","",IFERROR(INDEX(Orders!$D:$D,MATCH($C852,Orders!$A:$A,0)),""))</f>
        <v/>
      </c>
      <c r="H852" s="5"/>
      <c r="I852" s="5"/>
      <c r="J852" s="5"/>
      <c r="K852" s="5"/>
      <c r="L852" s="5" t="str">
        <f t="shared" si="13"/>
        <v/>
      </c>
    </row>
    <row r="853" spans="1:12">
      <c r="A853" s="4"/>
      <c r="D853" t="str">
        <f>IF($C853="","",IFERROR(INDEX(Orders!$B:$B,MATCH($C853,Orders!$A:$A,0)),""))</f>
        <v/>
      </c>
      <c r="E853" t="str">
        <f>IF($C853="","",IFERROR(INDEX(Orders!$D:$D,MATCH($C853,Orders!$A:$A,0)),""))</f>
        <v/>
      </c>
      <c r="H853" s="5"/>
      <c r="I853" s="5"/>
      <c r="J853" s="5"/>
      <c r="K853" s="5"/>
      <c r="L853" s="5" t="str">
        <f t="shared" si="13"/>
        <v/>
      </c>
    </row>
    <row r="854" spans="1:12">
      <c r="A854" s="4"/>
      <c r="D854" t="str">
        <f>IF($C854="","",IFERROR(INDEX(Orders!$B:$B,MATCH($C854,Orders!$A:$A,0)),""))</f>
        <v/>
      </c>
      <c r="E854" t="str">
        <f>IF($C854="","",IFERROR(INDEX(Orders!$D:$D,MATCH($C854,Orders!$A:$A,0)),""))</f>
        <v/>
      </c>
      <c r="H854" s="5"/>
      <c r="I854" s="5"/>
      <c r="J854" s="5"/>
      <c r="K854" s="5"/>
      <c r="L854" s="5" t="str">
        <f t="shared" si="13"/>
        <v/>
      </c>
    </row>
    <row r="855" spans="1:12">
      <c r="A855" s="4"/>
      <c r="D855" t="str">
        <f>IF($C855="","",IFERROR(INDEX(Orders!$B:$B,MATCH($C855,Orders!$A:$A,0)),""))</f>
        <v/>
      </c>
      <c r="E855" t="str">
        <f>IF($C855="","",IFERROR(INDEX(Orders!$D:$D,MATCH($C855,Orders!$A:$A,0)),""))</f>
        <v/>
      </c>
      <c r="H855" s="5"/>
      <c r="I855" s="5"/>
      <c r="J855" s="5"/>
      <c r="K855" s="5"/>
      <c r="L855" s="5" t="str">
        <f t="shared" si="13"/>
        <v/>
      </c>
    </row>
    <row r="856" spans="1:12">
      <c r="A856" s="4"/>
      <c r="D856" t="str">
        <f>IF($C856="","",IFERROR(INDEX(Orders!$B:$B,MATCH($C856,Orders!$A:$A,0)),""))</f>
        <v/>
      </c>
      <c r="E856" t="str">
        <f>IF($C856="","",IFERROR(INDEX(Orders!$D:$D,MATCH($C856,Orders!$A:$A,0)),""))</f>
        <v/>
      </c>
      <c r="H856" s="5"/>
      <c r="I856" s="5"/>
      <c r="J856" s="5"/>
      <c r="K856" s="5"/>
      <c r="L856" s="5" t="str">
        <f t="shared" si="13"/>
        <v/>
      </c>
    </row>
    <row r="857" spans="1:12">
      <c r="A857" s="4"/>
      <c r="D857" t="str">
        <f>IF($C857="","",IFERROR(INDEX(Orders!$B:$B,MATCH($C857,Orders!$A:$A,0)),""))</f>
        <v/>
      </c>
      <c r="E857" t="str">
        <f>IF($C857="","",IFERROR(INDEX(Orders!$D:$D,MATCH($C857,Orders!$A:$A,0)),""))</f>
        <v/>
      </c>
      <c r="H857" s="5"/>
      <c r="I857" s="5"/>
      <c r="J857" s="5"/>
      <c r="K857" s="5"/>
      <c r="L857" s="5" t="str">
        <f t="shared" si="13"/>
        <v/>
      </c>
    </row>
    <row r="858" spans="1:12">
      <c r="A858" s="4"/>
      <c r="D858" t="str">
        <f>IF($C858="","",IFERROR(INDEX(Orders!$B:$B,MATCH($C858,Orders!$A:$A,0)),""))</f>
        <v/>
      </c>
      <c r="E858" t="str">
        <f>IF($C858="","",IFERROR(INDEX(Orders!$D:$D,MATCH($C858,Orders!$A:$A,0)),""))</f>
        <v/>
      </c>
      <c r="H858" s="5"/>
      <c r="I858" s="5"/>
      <c r="J858" s="5"/>
      <c r="K858" s="5"/>
      <c r="L858" s="5" t="str">
        <f t="shared" si="13"/>
        <v/>
      </c>
    </row>
    <row r="859" spans="1:12">
      <c r="A859" s="4"/>
      <c r="D859" t="str">
        <f>IF($C859="","",IFERROR(INDEX(Orders!$B:$B,MATCH($C859,Orders!$A:$A,0)),""))</f>
        <v/>
      </c>
      <c r="E859" t="str">
        <f>IF($C859="","",IFERROR(INDEX(Orders!$D:$D,MATCH($C859,Orders!$A:$A,0)),""))</f>
        <v/>
      </c>
      <c r="H859" s="5"/>
      <c r="I859" s="5"/>
      <c r="J859" s="5"/>
      <c r="K859" s="5"/>
      <c r="L859" s="5" t="str">
        <f t="shared" si="13"/>
        <v/>
      </c>
    </row>
    <row r="860" spans="1:12">
      <c r="A860" s="4"/>
      <c r="D860" t="str">
        <f>IF($C860="","",IFERROR(INDEX(Orders!$B:$B,MATCH($C860,Orders!$A:$A,0)),""))</f>
        <v/>
      </c>
      <c r="E860" t="str">
        <f>IF($C860="","",IFERROR(INDEX(Orders!$D:$D,MATCH($C860,Orders!$A:$A,0)),""))</f>
        <v/>
      </c>
      <c r="H860" s="5"/>
      <c r="I860" s="5"/>
      <c r="J860" s="5"/>
      <c r="K860" s="5"/>
      <c r="L860" s="5" t="str">
        <f t="shared" si="13"/>
        <v/>
      </c>
    </row>
    <row r="861" spans="1:12">
      <c r="A861" s="4"/>
      <c r="D861" t="str">
        <f>IF($C861="","",IFERROR(INDEX(Orders!$B:$B,MATCH($C861,Orders!$A:$A,0)),""))</f>
        <v/>
      </c>
      <c r="E861" t="str">
        <f>IF($C861="","",IFERROR(INDEX(Orders!$D:$D,MATCH($C861,Orders!$A:$A,0)),""))</f>
        <v/>
      </c>
      <c r="H861" s="5"/>
      <c r="I861" s="5"/>
      <c r="J861" s="5"/>
      <c r="K861" s="5"/>
      <c r="L861" s="5" t="str">
        <f t="shared" si="13"/>
        <v/>
      </c>
    </row>
    <row r="862" spans="1:12">
      <c r="A862" s="4"/>
      <c r="D862" t="str">
        <f>IF($C862="","",IFERROR(INDEX(Orders!$B:$B,MATCH($C862,Orders!$A:$A,0)),""))</f>
        <v/>
      </c>
      <c r="E862" t="str">
        <f>IF($C862="","",IFERROR(INDEX(Orders!$D:$D,MATCH($C862,Orders!$A:$A,0)),""))</f>
        <v/>
      </c>
      <c r="H862" s="5"/>
      <c r="I862" s="5"/>
      <c r="J862" s="5"/>
      <c r="K862" s="5"/>
      <c r="L862" s="5" t="str">
        <f t="shared" si="13"/>
        <v/>
      </c>
    </row>
    <row r="863" spans="1:12">
      <c r="A863" s="4"/>
      <c r="D863" t="str">
        <f>IF($C863="","",IFERROR(INDEX(Orders!$B:$B,MATCH($C863,Orders!$A:$A,0)),""))</f>
        <v/>
      </c>
      <c r="E863" t="str">
        <f>IF($C863="","",IFERROR(INDEX(Orders!$D:$D,MATCH($C863,Orders!$A:$A,0)),""))</f>
        <v/>
      </c>
      <c r="H863" s="5"/>
      <c r="I863" s="5"/>
      <c r="J863" s="5"/>
      <c r="K863" s="5"/>
      <c r="L863" s="5" t="str">
        <f t="shared" si="13"/>
        <v/>
      </c>
    </row>
    <row r="864" spans="1:12">
      <c r="A864" s="4"/>
      <c r="D864" t="str">
        <f>IF($C864="","",IFERROR(INDEX(Orders!$B:$B,MATCH($C864,Orders!$A:$A,0)),""))</f>
        <v/>
      </c>
      <c r="E864" t="str">
        <f>IF($C864="","",IFERROR(INDEX(Orders!$D:$D,MATCH($C864,Orders!$A:$A,0)),""))</f>
        <v/>
      </c>
      <c r="H864" s="5"/>
      <c r="I864" s="5"/>
      <c r="J864" s="5"/>
      <c r="K864" s="5"/>
      <c r="L864" s="5" t="str">
        <f t="shared" si="13"/>
        <v/>
      </c>
    </row>
    <row r="865" spans="1:12">
      <c r="A865" s="4"/>
      <c r="D865" t="str">
        <f>IF($C865="","",IFERROR(INDEX(Orders!$B:$B,MATCH($C865,Orders!$A:$A,0)),""))</f>
        <v/>
      </c>
      <c r="E865" t="str">
        <f>IF($C865="","",IFERROR(INDEX(Orders!$D:$D,MATCH($C865,Orders!$A:$A,0)),""))</f>
        <v/>
      </c>
      <c r="H865" s="5"/>
      <c r="I865" s="5"/>
      <c r="J865" s="5"/>
      <c r="K865" s="5"/>
      <c r="L865" s="5" t="str">
        <f t="shared" si="13"/>
        <v/>
      </c>
    </row>
    <row r="866" spans="1:12">
      <c r="A866" s="4"/>
      <c r="D866" t="str">
        <f>IF($C866="","",IFERROR(INDEX(Orders!$B:$B,MATCH($C866,Orders!$A:$A,0)),""))</f>
        <v/>
      </c>
      <c r="E866" t="str">
        <f>IF($C866="","",IFERROR(INDEX(Orders!$D:$D,MATCH($C866,Orders!$A:$A,0)),""))</f>
        <v/>
      </c>
      <c r="H866" s="5"/>
      <c r="I866" s="5"/>
      <c r="J866" s="5"/>
      <c r="K866" s="5"/>
      <c r="L866" s="5" t="str">
        <f t="shared" si="13"/>
        <v/>
      </c>
    </row>
    <row r="867" spans="1:12">
      <c r="A867" s="4"/>
      <c r="D867" t="str">
        <f>IF($C867="","",IFERROR(INDEX(Orders!$B:$B,MATCH($C867,Orders!$A:$A,0)),""))</f>
        <v/>
      </c>
      <c r="E867" t="str">
        <f>IF($C867="","",IFERROR(INDEX(Orders!$D:$D,MATCH($C867,Orders!$A:$A,0)),""))</f>
        <v/>
      </c>
      <c r="H867" s="5"/>
      <c r="I867" s="5"/>
      <c r="J867" s="5"/>
      <c r="K867" s="5"/>
      <c r="L867" s="5" t="str">
        <f t="shared" si="13"/>
        <v/>
      </c>
    </row>
    <row r="868" spans="1:12">
      <c r="A868" s="4"/>
      <c r="D868" t="str">
        <f>IF($C868="","",IFERROR(INDEX(Orders!$B:$B,MATCH($C868,Orders!$A:$A,0)),""))</f>
        <v/>
      </c>
      <c r="E868" t="str">
        <f>IF($C868="","",IFERROR(INDEX(Orders!$D:$D,MATCH($C868,Orders!$A:$A,0)),""))</f>
        <v/>
      </c>
      <c r="H868" s="5"/>
      <c r="I868" s="5"/>
      <c r="J868" s="5"/>
      <c r="K868" s="5"/>
      <c r="L868" s="5" t="str">
        <f t="shared" si="13"/>
        <v/>
      </c>
    </row>
    <row r="869" spans="1:12">
      <c r="A869" s="4"/>
      <c r="D869" t="str">
        <f>IF($C869="","",IFERROR(INDEX(Orders!$B:$B,MATCH($C869,Orders!$A:$A,0)),""))</f>
        <v/>
      </c>
      <c r="E869" t="str">
        <f>IF($C869="","",IFERROR(INDEX(Orders!$D:$D,MATCH($C869,Orders!$A:$A,0)),""))</f>
        <v/>
      </c>
      <c r="H869" s="5"/>
      <c r="I869" s="5"/>
      <c r="J869" s="5"/>
      <c r="K869" s="5"/>
      <c r="L869" s="5" t="str">
        <f t="shared" si="13"/>
        <v/>
      </c>
    </row>
    <row r="870" spans="1:12">
      <c r="A870" s="4"/>
      <c r="D870" t="str">
        <f>IF($C870="","",IFERROR(INDEX(Orders!$B:$B,MATCH($C870,Orders!$A:$A,0)),""))</f>
        <v/>
      </c>
      <c r="E870" t="str">
        <f>IF($C870="","",IFERROR(INDEX(Orders!$D:$D,MATCH($C870,Orders!$A:$A,0)),""))</f>
        <v/>
      </c>
      <c r="H870" s="5"/>
      <c r="I870" s="5"/>
      <c r="J870" s="5"/>
      <c r="K870" s="5"/>
      <c r="L870" s="5" t="str">
        <f t="shared" si="13"/>
        <v/>
      </c>
    </row>
    <row r="871" spans="1:12">
      <c r="A871" s="4"/>
      <c r="D871" t="str">
        <f>IF($C871="","",IFERROR(INDEX(Orders!$B:$B,MATCH($C871,Orders!$A:$A,0)),""))</f>
        <v/>
      </c>
      <c r="E871" t="str">
        <f>IF($C871="","",IFERROR(INDEX(Orders!$D:$D,MATCH($C871,Orders!$A:$A,0)),""))</f>
        <v/>
      </c>
      <c r="H871" s="5"/>
      <c r="I871" s="5"/>
      <c r="J871" s="5"/>
      <c r="K871" s="5"/>
      <c r="L871" s="5" t="str">
        <f t="shared" si="13"/>
        <v/>
      </c>
    </row>
    <row r="872" spans="1:12">
      <c r="A872" s="4"/>
      <c r="D872" t="str">
        <f>IF($C872="","",IFERROR(INDEX(Orders!$B:$B,MATCH($C872,Orders!$A:$A,0)),""))</f>
        <v/>
      </c>
      <c r="E872" t="str">
        <f>IF($C872="","",IFERROR(INDEX(Orders!$D:$D,MATCH($C872,Orders!$A:$A,0)),""))</f>
        <v/>
      </c>
      <c r="H872" s="5"/>
      <c r="I872" s="5"/>
      <c r="J872" s="5"/>
      <c r="K872" s="5"/>
      <c r="L872" s="5" t="str">
        <f t="shared" si="13"/>
        <v/>
      </c>
    </row>
    <row r="873" spans="1:12">
      <c r="A873" s="4"/>
      <c r="D873" t="str">
        <f>IF($C873="","",IFERROR(INDEX(Orders!$B:$B,MATCH($C873,Orders!$A:$A,0)),""))</f>
        <v/>
      </c>
      <c r="E873" t="str">
        <f>IF($C873="","",IFERROR(INDEX(Orders!$D:$D,MATCH($C873,Orders!$A:$A,0)),""))</f>
        <v/>
      </c>
      <c r="H873" s="5"/>
      <c r="I873" s="5"/>
      <c r="J873" s="5"/>
      <c r="K873" s="5"/>
      <c r="L873" s="5" t="str">
        <f t="shared" si="13"/>
        <v/>
      </c>
    </row>
    <row r="874" spans="1:12">
      <c r="A874" s="4"/>
      <c r="D874" t="str">
        <f>IF($C874="","",IFERROR(INDEX(Orders!$B:$B,MATCH($C874,Orders!$A:$A,0)),""))</f>
        <v/>
      </c>
      <c r="E874" t="str">
        <f>IF($C874="","",IFERROR(INDEX(Orders!$D:$D,MATCH($C874,Orders!$A:$A,0)),""))</f>
        <v/>
      </c>
      <c r="H874" s="5"/>
      <c r="I874" s="5"/>
      <c r="J874" s="5"/>
      <c r="K874" s="5"/>
      <c r="L874" s="5" t="str">
        <f t="shared" si="13"/>
        <v/>
      </c>
    </row>
    <row r="875" spans="1:12">
      <c r="A875" s="4"/>
      <c r="D875" t="str">
        <f>IF($C875="","",IFERROR(INDEX(Orders!$B:$B,MATCH($C875,Orders!$A:$A,0)),""))</f>
        <v/>
      </c>
      <c r="E875" t="str">
        <f>IF($C875="","",IFERROR(INDEX(Orders!$D:$D,MATCH($C875,Orders!$A:$A,0)),""))</f>
        <v/>
      </c>
      <c r="H875" s="5"/>
      <c r="I875" s="5"/>
      <c r="J875" s="5"/>
      <c r="K875" s="5"/>
      <c r="L875" s="5" t="str">
        <f t="shared" si="13"/>
        <v/>
      </c>
    </row>
    <row r="876" spans="1:12">
      <c r="A876" s="4"/>
      <c r="D876" t="str">
        <f>IF($C876="","",IFERROR(INDEX(Orders!$B:$B,MATCH($C876,Orders!$A:$A,0)),""))</f>
        <v/>
      </c>
      <c r="E876" t="str">
        <f>IF($C876="","",IFERROR(INDEX(Orders!$D:$D,MATCH($C876,Orders!$A:$A,0)),""))</f>
        <v/>
      </c>
      <c r="H876" s="5"/>
      <c r="I876" s="5"/>
      <c r="J876" s="5"/>
      <c r="K876" s="5"/>
      <c r="L876" s="5" t="str">
        <f t="shared" si="13"/>
        <v/>
      </c>
    </row>
    <row r="877" spans="1:12">
      <c r="A877" s="4"/>
      <c r="D877" t="str">
        <f>IF($C877="","",IFERROR(INDEX(Orders!$B:$B,MATCH($C877,Orders!$A:$A,0)),""))</f>
        <v/>
      </c>
      <c r="E877" t="str">
        <f>IF($C877="","",IFERROR(INDEX(Orders!$D:$D,MATCH($C877,Orders!$A:$A,0)),""))</f>
        <v/>
      </c>
      <c r="H877" s="5"/>
      <c r="I877" s="5"/>
      <c r="J877" s="5"/>
      <c r="K877" s="5"/>
      <c r="L877" s="5" t="str">
        <f t="shared" si="13"/>
        <v/>
      </c>
    </row>
    <row r="878" spans="1:12">
      <c r="A878" s="4"/>
      <c r="D878" t="str">
        <f>IF($C878="","",IFERROR(INDEX(Orders!$B:$B,MATCH($C878,Orders!$A:$A,0)),""))</f>
        <v/>
      </c>
      <c r="E878" t="str">
        <f>IF($C878="","",IFERROR(INDEX(Orders!$D:$D,MATCH($C878,Orders!$A:$A,0)),""))</f>
        <v/>
      </c>
      <c r="H878" s="5"/>
      <c r="I878" s="5"/>
      <c r="J878" s="5"/>
      <c r="K878" s="5"/>
      <c r="L878" s="5" t="str">
        <f t="shared" si="13"/>
        <v/>
      </c>
    </row>
    <row r="879" spans="1:12">
      <c r="A879" s="4"/>
      <c r="D879" t="str">
        <f>IF($C879="","",IFERROR(INDEX(Orders!$B:$B,MATCH($C879,Orders!$A:$A,0)),""))</f>
        <v/>
      </c>
      <c r="E879" t="str">
        <f>IF($C879="","",IFERROR(INDEX(Orders!$D:$D,MATCH($C879,Orders!$A:$A,0)),""))</f>
        <v/>
      </c>
      <c r="H879" s="5"/>
      <c r="I879" s="5"/>
      <c r="J879" s="5"/>
      <c r="K879" s="5"/>
      <c r="L879" s="5" t="str">
        <f t="shared" si="13"/>
        <v/>
      </c>
    </row>
    <row r="880" spans="1:12">
      <c r="A880" s="4"/>
      <c r="D880" t="str">
        <f>IF($C880="","",IFERROR(INDEX(Orders!$B:$B,MATCH($C880,Orders!$A:$A,0)),""))</f>
        <v/>
      </c>
      <c r="E880" t="str">
        <f>IF($C880="","",IFERROR(INDEX(Orders!$D:$D,MATCH($C880,Orders!$A:$A,0)),""))</f>
        <v/>
      </c>
      <c r="H880" s="5"/>
      <c r="I880" s="5"/>
      <c r="J880" s="5"/>
      <c r="K880" s="5"/>
      <c r="L880" s="5" t="str">
        <f t="shared" si="13"/>
        <v/>
      </c>
    </row>
    <row r="881" spans="1:12">
      <c r="A881" s="4"/>
      <c r="D881" t="str">
        <f>IF($C881="","",IFERROR(INDEX(Orders!$B:$B,MATCH($C881,Orders!$A:$A,0)),""))</f>
        <v/>
      </c>
      <c r="E881" t="str">
        <f>IF($C881="","",IFERROR(INDEX(Orders!$D:$D,MATCH($C881,Orders!$A:$A,0)),""))</f>
        <v/>
      </c>
      <c r="H881" s="5"/>
      <c r="I881" s="5"/>
      <c r="J881" s="5"/>
      <c r="K881" s="5"/>
      <c r="L881" s="5" t="str">
        <f t="shared" si="13"/>
        <v/>
      </c>
    </row>
    <row r="882" spans="1:12">
      <c r="A882" s="4"/>
      <c r="D882" t="str">
        <f>IF($C882="","",IFERROR(INDEX(Orders!$B:$B,MATCH($C882,Orders!$A:$A,0)),""))</f>
        <v/>
      </c>
      <c r="E882" t="str">
        <f>IF($C882="","",IFERROR(INDEX(Orders!$D:$D,MATCH($C882,Orders!$A:$A,0)),""))</f>
        <v/>
      </c>
      <c r="H882" s="5"/>
      <c r="I882" s="5"/>
      <c r="J882" s="5"/>
      <c r="K882" s="5"/>
      <c r="L882" s="5" t="str">
        <f t="shared" si="13"/>
        <v/>
      </c>
    </row>
    <row r="883" spans="1:12">
      <c r="A883" s="4"/>
      <c r="D883" t="str">
        <f>IF($C883="","",IFERROR(INDEX(Orders!$B:$B,MATCH($C883,Orders!$A:$A,0)),""))</f>
        <v/>
      </c>
      <c r="E883" t="str">
        <f>IF($C883="","",IFERROR(INDEX(Orders!$D:$D,MATCH($C883,Orders!$A:$A,0)),""))</f>
        <v/>
      </c>
      <c r="H883" s="5"/>
      <c r="I883" s="5"/>
      <c r="J883" s="5"/>
      <c r="K883" s="5"/>
      <c r="L883" s="5" t="str">
        <f t="shared" si="13"/>
        <v/>
      </c>
    </row>
    <row r="884" spans="1:12">
      <c r="A884" s="4"/>
      <c r="D884" t="str">
        <f>IF($C884="","",IFERROR(INDEX(Orders!$B:$B,MATCH($C884,Orders!$A:$A,0)),""))</f>
        <v/>
      </c>
      <c r="E884" t="str">
        <f>IF($C884="","",IFERROR(INDEX(Orders!$D:$D,MATCH($C884,Orders!$A:$A,0)),""))</f>
        <v/>
      </c>
      <c r="H884" s="5"/>
      <c r="I884" s="5"/>
      <c r="J884" s="5"/>
      <c r="K884" s="5"/>
      <c r="L884" s="5" t="str">
        <f t="shared" si="13"/>
        <v/>
      </c>
    </row>
    <row r="885" spans="1:12">
      <c r="A885" s="4"/>
      <c r="D885" t="str">
        <f>IF($C885="","",IFERROR(INDEX(Orders!$B:$B,MATCH($C885,Orders!$A:$A,0)),""))</f>
        <v/>
      </c>
      <c r="E885" t="str">
        <f>IF($C885="","",IFERROR(INDEX(Orders!$D:$D,MATCH($C885,Orders!$A:$A,0)),""))</f>
        <v/>
      </c>
      <c r="H885" s="5"/>
      <c r="I885" s="5"/>
      <c r="J885" s="5"/>
      <c r="K885" s="5"/>
      <c r="L885" s="5" t="str">
        <f t="shared" si="13"/>
        <v/>
      </c>
    </row>
    <row r="886" spans="1:12">
      <c r="A886" s="4"/>
      <c r="D886" t="str">
        <f>IF($C886="","",IFERROR(INDEX(Orders!$B:$B,MATCH($C886,Orders!$A:$A,0)),""))</f>
        <v/>
      </c>
      <c r="E886" t="str">
        <f>IF($C886="","",IFERROR(INDEX(Orders!$D:$D,MATCH($C886,Orders!$A:$A,0)),""))</f>
        <v/>
      </c>
      <c r="H886" s="5"/>
      <c r="I886" s="5"/>
      <c r="J886" s="5"/>
      <c r="K886" s="5"/>
      <c r="L886" s="5" t="str">
        <f t="shared" si="13"/>
        <v/>
      </c>
    </row>
    <row r="887" spans="1:12">
      <c r="A887" s="4"/>
      <c r="D887" t="str">
        <f>IF($C887="","",IFERROR(INDEX(Orders!$B:$B,MATCH($C887,Orders!$A:$A,0)),""))</f>
        <v/>
      </c>
      <c r="E887" t="str">
        <f>IF($C887="","",IFERROR(INDEX(Orders!$D:$D,MATCH($C887,Orders!$A:$A,0)),""))</f>
        <v/>
      </c>
      <c r="H887" s="5"/>
      <c r="I887" s="5"/>
      <c r="J887" s="5"/>
      <c r="K887" s="5"/>
      <c r="L887" s="5" t="str">
        <f t="shared" si="13"/>
        <v/>
      </c>
    </row>
    <row r="888" spans="1:12">
      <c r="A888" s="4"/>
      <c r="D888" t="str">
        <f>IF($C888="","",IFERROR(INDEX(Orders!$B:$B,MATCH($C888,Orders!$A:$A,0)),""))</f>
        <v/>
      </c>
      <c r="E888" t="str">
        <f>IF($C888="","",IFERROR(INDEX(Orders!$D:$D,MATCH($C888,Orders!$A:$A,0)),""))</f>
        <v/>
      </c>
      <c r="H888" s="5"/>
      <c r="I888" s="5"/>
      <c r="J888" s="5"/>
      <c r="K888" s="5"/>
      <c r="L888" s="5" t="str">
        <f t="shared" si="13"/>
        <v/>
      </c>
    </row>
    <row r="889" spans="1:12">
      <c r="A889" s="4"/>
      <c r="D889" t="str">
        <f>IF($C889="","",IFERROR(INDEX(Orders!$B:$B,MATCH($C889,Orders!$A:$A,0)),""))</f>
        <v/>
      </c>
      <c r="E889" t="str">
        <f>IF($C889="","",IFERROR(INDEX(Orders!$D:$D,MATCH($C889,Orders!$A:$A,0)),""))</f>
        <v/>
      </c>
      <c r="H889" s="5"/>
      <c r="I889" s="5"/>
      <c r="J889" s="5"/>
      <c r="K889" s="5"/>
      <c r="L889" s="5" t="str">
        <f t="shared" si="13"/>
        <v/>
      </c>
    </row>
    <row r="890" spans="1:12">
      <c r="A890" s="4"/>
      <c r="D890" t="str">
        <f>IF($C890="","",IFERROR(INDEX(Orders!$B:$B,MATCH($C890,Orders!$A:$A,0)),""))</f>
        <v/>
      </c>
      <c r="E890" t="str">
        <f>IF($C890="","",IFERROR(INDEX(Orders!$D:$D,MATCH($C890,Orders!$A:$A,0)),""))</f>
        <v/>
      </c>
      <c r="H890" s="5"/>
      <c r="I890" s="5"/>
      <c r="J890" s="5"/>
      <c r="K890" s="5"/>
      <c r="L890" s="5" t="str">
        <f t="shared" si="13"/>
        <v/>
      </c>
    </row>
    <row r="891" spans="1:12">
      <c r="A891" s="4"/>
      <c r="D891" t="str">
        <f>IF($C891="","",IFERROR(INDEX(Orders!$B:$B,MATCH($C891,Orders!$A:$A,0)),""))</f>
        <v/>
      </c>
      <c r="E891" t="str">
        <f>IF($C891="","",IFERROR(INDEX(Orders!$D:$D,MATCH($C891,Orders!$A:$A,0)),""))</f>
        <v/>
      </c>
      <c r="H891" s="5"/>
      <c r="I891" s="5"/>
      <c r="J891" s="5"/>
      <c r="K891" s="5"/>
      <c r="L891" s="5" t="str">
        <f t="shared" si="13"/>
        <v/>
      </c>
    </row>
    <row r="892" spans="1:12">
      <c r="A892" s="4"/>
      <c r="D892" t="str">
        <f>IF($C892="","",IFERROR(INDEX(Orders!$B:$B,MATCH($C892,Orders!$A:$A,0)),""))</f>
        <v/>
      </c>
      <c r="E892" t="str">
        <f>IF($C892="","",IFERROR(INDEX(Orders!$D:$D,MATCH($C892,Orders!$A:$A,0)),""))</f>
        <v/>
      </c>
      <c r="H892" s="5"/>
      <c r="I892" s="5"/>
      <c r="J892" s="5"/>
      <c r="K892" s="5"/>
      <c r="L892" s="5" t="str">
        <f t="shared" si="13"/>
        <v/>
      </c>
    </row>
    <row r="893" spans="1:12">
      <c r="A893" s="4"/>
      <c r="D893" t="str">
        <f>IF($C893="","",IFERROR(INDEX(Orders!$B:$B,MATCH($C893,Orders!$A:$A,0)),""))</f>
        <v/>
      </c>
      <c r="E893" t="str">
        <f>IF($C893="","",IFERROR(INDEX(Orders!$D:$D,MATCH($C893,Orders!$A:$A,0)),""))</f>
        <v/>
      </c>
      <c r="H893" s="5"/>
      <c r="I893" s="5"/>
      <c r="J893" s="5"/>
      <c r="K893" s="5"/>
      <c r="L893" s="5" t="str">
        <f t="shared" si="13"/>
        <v/>
      </c>
    </row>
    <row r="894" spans="1:12">
      <c r="A894" s="4"/>
      <c r="D894" t="str">
        <f>IF($C894="","",IFERROR(INDEX(Orders!$B:$B,MATCH($C894,Orders!$A:$A,0)),""))</f>
        <v/>
      </c>
      <c r="E894" t="str">
        <f>IF($C894="","",IFERROR(INDEX(Orders!$D:$D,MATCH($C894,Orders!$A:$A,0)),""))</f>
        <v/>
      </c>
      <c r="H894" s="5"/>
      <c r="I894" s="5"/>
      <c r="J894" s="5"/>
      <c r="K894" s="5"/>
      <c r="L894" s="5" t="str">
        <f t="shared" si="13"/>
        <v/>
      </c>
    </row>
    <row r="895" spans="1:12">
      <c r="A895" s="4"/>
      <c r="D895" t="str">
        <f>IF($C895="","",IFERROR(INDEX(Orders!$B:$B,MATCH($C895,Orders!$A:$A,0)),""))</f>
        <v/>
      </c>
      <c r="E895" t="str">
        <f>IF($C895="","",IFERROR(INDEX(Orders!$D:$D,MATCH($C895,Orders!$A:$A,0)),""))</f>
        <v/>
      </c>
      <c r="H895" s="5"/>
      <c r="I895" s="5"/>
      <c r="J895" s="5"/>
      <c r="K895" s="5"/>
      <c r="L895" s="5" t="str">
        <f t="shared" si="13"/>
        <v/>
      </c>
    </row>
    <row r="896" spans="1:12">
      <c r="A896" s="4"/>
      <c r="D896" t="str">
        <f>IF($C896="","",IFERROR(INDEX(Orders!$B:$B,MATCH($C896,Orders!$A:$A,0)),""))</f>
        <v/>
      </c>
      <c r="E896" t="str">
        <f>IF($C896="","",IFERROR(INDEX(Orders!$D:$D,MATCH($C896,Orders!$A:$A,0)),""))</f>
        <v/>
      </c>
      <c r="H896" s="5"/>
      <c r="I896" s="5"/>
      <c r="J896" s="5"/>
      <c r="K896" s="5"/>
      <c r="L896" s="5" t="str">
        <f t="shared" si="13"/>
        <v/>
      </c>
    </row>
    <row r="897" spans="1:12">
      <c r="A897" s="4"/>
      <c r="D897" t="str">
        <f>IF($C897="","",IFERROR(INDEX(Orders!$B:$B,MATCH($C897,Orders!$A:$A,0)),""))</f>
        <v/>
      </c>
      <c r="E897" t="str">
        <f>IF($C897="","",IFERROR(INDEX(Orders!$D:$D,MATCH($C897,Orders!$A:$A,0)),""))</f>
        <v/>
      </c>
      <c r="H897" s="5"/>
      <c r="I897" s="5"/>
      <c r="J897" s="5"/>
      <c r="K897" s="5"/>
      <c r="L897" s="5" t="str">
        <f t="shared" si="13"/>
        <v/>
      </c>
    </row>
    <row r="898" spans="1:12">
      <c r="A898" s="4"/>
      <c r="D898" t="str">
        <f>IF($C898="","",IFERROR(INDEX(Orders!$B:$B,MATCH($C898,Orders!$A:$A,0)),""))</f>
        <v/>
      </c>
      <c r="E898" t="str">
        <f>IF($C898="","",IFERROR(INDEX(Orders!$D:$D,MATCH($C898,Orders!$A:$A,0)),""))</f>
        <v/>
      </c>
      <c r="H898" s="5"/>
      <c r="I898" s="5"/>
      <c r="J898" s="5"/>
      <c r="K898" s="5"/>
      <c r="L898" s="5" t="str">
        <f t="shared" ref="L898:L961" si="14">IF($C898="","",$H898-$I898-$K898)</f>
        <v/>
      </c>
    </row>
    <row r="899" spans="1:12">
      <c r="A899" s="4"/>
      <c r="D899" t="str">
        <f>IF($C899="","",IFERROR(INDEX(Orders!$B:$B,MATCH($C899,Orders!$A:$A,0)),""))</f>
        <v/>
      </c>
      <c r="E899" t="str">
        <f>IF($C899="","",IFERROR(INDEX(Orders!$D:$D,MATCH($C899,Orders!$A:$A,0)),""))</f>
        <v/>
      </c>
      <c r="H899" s="5"/>
      <c r="I899" s="5"/>
      <c r="J899" s="5"/>
      <c r="K899" s="5"/>
      <c r="L899" s="5" t="str">
        <f t="shared" si="14"/>
        <v/>
      </c>
    </row>
    <row r="900" spans="1:12">
      <c r="A900" s="4"/>
      <c r="D900" t="str">
        <f>IF($C900="","",IFERROR(INDEX(Orders!$B:$B,MATCH($C900,Orders!$A:$A,0)),""))</f>
        <v/>
      </c>
      <c r="E900" t="str">
        <f>IF($C900="","",IFERROR(INDEX(Orders!$D:$D,MATCH($C900,Orders!$A:$A,0)),""))</f>
        <v/>
      </c>
      <c r="H900" s="5"/>
      <c r="I900" s="5"/>
      <c r="J900" s="5"/>
      <c r="K900" s="5"/>
      <c r="L900" s="5" t="str">
        <f t="shared" si="14"/>
        <v/>
      </c>
    </row>
    <row r="901" spans="1:12">
      <c r="A901" s="4"/>
      <c r="D901" t="str">
        <f>IF($C901="","",IFERROR(INDEX(Orders!$B:$B,MATCH($C901,Orders!$A:$A,0)),""))</f>
        <v/>
      </c>
      <c r="E901" t="str">
        <f>IF($C901="","",IFERROR(INDEX(Orders!$D:$D,MATCH($C901,Orders!$A:$A,0)),""))</f>
        <v/>
      </c>
      <c r="H901" s="5"/>
      <c r="I901" s="5"/>
      <c r="J901" s="5"/>
      <c r="K901" s="5"/>
      <c r="L901" s="5" t="str">
        <f t="shared" si="14"/>
        <v/>
      </c>
    </row>
    <row r="902" spans="1:12">
      <c r="A902" s="4"/>
      <c r="D902" t="str">
        <f>IF($C902="","",IFERROR(INDEX(Orders!$B:$B,MATCH($C902,Orders!$A:$A,0)),""))</f>
        <v/>
      </c>
      <c r="E902" t="str">
        <f>IF($C902="","",IFERROR(INDEX(Orders!$D:$D,MATCH($C902,Orders!$A:$A,0)),""))</f>
        <v/>
      </c>
      <c r="H902" s="5"/>
      <c r="I902" s="5"/>
      <c r="J902" s="5"/>
      <c r="K902" s="5"/>
      <c r="L902" s="5" t="str">
        <f t="shared" si="14"/>
        <v/>
      </c>
    </row>
    <row r="903" spans="1:12">
      <c r="A903" s="4"/>
      <c r="D903" t="str">
        <f>IF($C903="","",IFERROR(INDEX(Orders!$B:$B,MATCH($C903,Orders!$A:$A,0)),""))</f>
        <v/>
      </c>
      <c r="E903" t="str">
        <f>IF($C903="","",IFERROR(INDEX(Orders!$D:$D,MATCH($C903,Orders!$A:$A,0)),""))</f>
        <v/>
      </c>
      <c r="H903" s="5"/>
      <c r="I903" s="5"/>
      <c r="J903" s="5"/>
      <c r="K903" s="5"/>
      <c r="L903" s="5" t="str">
        <f t="shared" si="14"/>
        <v/>
      </c>
    </row>
    <row r="904" spans="1:12">
      <c r="A904" s="4"/>
      <c r="D904" t="str">
        <f>IF($C904="","",IFERROR(INDEX(Orders!$B:$B,MATCH($C904,Orders!$A:$A,0)),""))</f>
        <v/>
      </c>
      <c r="E904" t="str">
        <f>IF($C904="","",IFERROR(INDEX(Orders!$D:$D,MATCH($C904,Orders!$A:$A,0)),""))</f>
        <v/>
      </c>
      <c r="H904" s="5"/>
      <c r="I904" s="5"/>
      <c r="J904" s="5"/>
      <c r="K904" s="5"/>
      <c r="L904" s="5" t="str">
        <f t="shared" si="14"/>
        <v/>
      </c>
    </row>
    <row r="905" spans="1:12">
      <c r="A905" s="4"/>
      <c r="D905" t="str">
        <f>IF($C905="","",IFERROR(INDEX(Orders!$B:$B,MATCH($C905,Orders!$A:$A,0)),""))</f>
        <v/>
      </c>
      <c r="E905" t="str">
        <f>IF($C905="","",IFERROR(INDEX(Orders!$D:$D,MATCH($C905,Orders!$A:$A,0)),""))</f>
        <v/>
      </c>
      <c r="H905" s="5"/>
      <c r="I905" s="5"/>
      <c r="J905" s="5"/>
      <c r="K905" s="5"/>
      <c r="L905" s="5" t="str">
        <f t="shared" si="14"/>
        <v/>
      </c>
    </row>
    <row r="906" spans="1:12">
      <c r="A906" s="4"/>
      <c r="D906" t="str">
        <f>IF($C906="","",IFERROR(INDEX(Orders!$B:$B,MATCH($C906,Orders!$A:$A,0)),""))</f>
        <v/>
      </c>
      <c r="E906" t="str">
        <f>IF($C906="","",IFERROR(INDEX(Orders!$D:$D,MATCH($C906,Orders!$A:$A,0)),""))</f>
        <v/>
      </c>
      <c r="H906" s="5"/>
      <c r="I906" s="5"/>
      <c r="J906" s="5"/>
      <c r="K906" s="5"/>
      <c r="L906" s="5" t="str">
        <f t="shared" si="14"/>
        <v/>
      </c>
    </row>
    <row r="907" spans="1:12">
      <c r="A907" s="4"/>
      <c r="D907" t="str">
        <f>IF($C907="","",IFERROR(INDEX(Orders!$B:$B,MATCH($C907,Orders!$A:$A,0)),""))</f>
        <v/>
      </c>
      <c r="E907" t="str">
        <f>IF($C907="","",IFERROR(INDEX(Orders!$D:$D,MATCH($C907,Orders!$A:$A,0)),""))</f>
        <v/>
      </c>
      <c r="H907" s="5"/>
      <c r="I907" s="5"/>
      <c r="J907" s="5"/>
      <c r="K907" s="5"/>
      <c r="L907" s="5" t="str">
        <f t="shared" si="14"/>
        <v/>
      </c>
    </row>
    <row r="908" spans="1:12">
      <c r="A908" s="4"/>
      <c r="D908" t="str">
        <f>IF($C908="","",IFERROR(INDEX(Orders!$B:$B,MATCH($C908,Orders!$A:$A,0)),""))</f>
        <v/>
      </c>
      <c r="E908" t="str">
        <f>IF($C908="","",IFERROR(INDEX(Orders!$D:$D,MATCH($C908,Orders!$A:$A,0)),""))</f>
        <v/>
      </c>
      <c r="H908" s="5"/>
      <c r="I908" s="5"/>
      <c r="J908" s="5"/>
      <c r="K908" s="5"/>
      <c r="L908" s="5" t="str">
        <f t="shared" si="14"/>
        <v/>
      </c>
    </row>
    <row r="909" spans="1:12">
      <c r="A909" s="4"/>
      <c r="D909" t="str">
        <f>IF($C909="","",IFERROR(INDEX(Orders!$B:$B,MATCH($C909,Orders!$A:$A,0)),""))</f>
        <v/>
      </c>
      <c r="E909" t="str">
        <f>IF($C909="","",IFERROR(INDEX(Orders!$D:$D,MATCH($C909,Orders!$A:$A,0)),""))</f>
        <v/>
      </c>
      <c r="H909" s="5"/>
      <c r="I909" s="5"/>
      <c r="J909" s="5"/>
      <c r="K909" s="5"/>
      <c r="L909" s="5" t="str">
        <f t="shared" si="14"/>
        <v/>
      </c>
    </row>
    <row r="910" spans="1:12">
      <c r="A910" s="4"/>
      <c r="D910" t="str">
        <f>IF($C910="","",IFERROR(INDEX(Orders!$B:$B,MATCH($C910,Orders!$A:$A,0)),""))</f>
        <v/>
      </c>
      <c r="E910" t="str">
        <f>IF($C910="","",IFERROR(INDEX(Orders!$D:$D,MATCH($C910,Orders!$A:$A,0)),""))</f>
        <v/>
      </c>
      <c r="H910" s="5"/>
      <c r="I910" s="5"/>
      <c r="J910" s="5"/>
      <c r="K910" s="5"/>
      <c r="L910" s="5" t="str">
        <f t="shared" si="14"/>
        <v/>
      </c>
    </row>
    <row r="911" spans="1:12">
      <c r="A911" s="4"/>
      <c r="D911" t="str">
        <f>IF($C911="","",IFERROR(INDEX(Orders!$B:$B,MATCH($C911,Orders!$A:$A,0)),""))</f>
        <v/>
      </c>
      <c r="E911" t="str">
        <f>IF($C911="","",IFERROR(INDEX(Orders!$D:$D,MATCH($C911,Orders!$A:$A,0)),""))</f>
        <v/>
      </c>
      <c r="H911" s="5"/>
      <c r="I911" s="5"/>
      <c r="J911" s="5"/>
      <c r="K911" s="5"/>
      <c r="L911" s="5" t="str">
        <f t="shared" si="14"/>
        <v/>
      </c>
    </row>
    <row r="912" spans="1:12">
      <c r="A912" s="4"/>
      <c r="D912" t="str">
        <f>IF($C912="","",IFERROR(INDEX(Orders!$B:$B,MATCH($C912,Orders!$A:$A,0)),""))</f>
        <v/>
      </c>
      <c r="E912" t="str">
        <f>IF($C912="","",IFERROR(INDEX(Orders!$D:$D,MATCH($C912,Orders!$A:$A,0)),""))</f>
        <v/>
      </c>
      <c r="H912" s="5"/>
      <c r="I912" s="5"/>
      <c r="J912" s="5"/>
      <c r="K912" s="5"/>
      <c r="L912" s="5" t="str">
        <f t="shared" si="14"/>
        <v/>
      </c>
    </row>
    <row r="913" spans="1:12">
      <c r="A913" s="4"/>
      <c r="D913" t="str">
        <f>IF($C913="","",IFERROR(INDEX(Orders!$B:$B,MATCH($C913,Orders!$A:$A,0)),""))</f>
        <v/>
      </c>
      <c r="E913" t="str">
        <f>IF($C913="","",IFERROR(INDEX(Orders!$D:$D,MATCH($C913,Orders!$A:$A,0)),""))</f>
        <v/>
      </c>
      <c r="H913" s="5"/>
      <c r="I913" s="5"/>
      <c r="J913" s="5"/>
      <c r="K913" s="5"/>
      <c r="L913" s="5" t="str">
        <f t="shared" si="14"/>
        <v/>
      </c>
    </row>
    <row r="914" spans="1:12">
      <c r="A914" s="4"/>
      <c r="D914" t="str">
        <f>IF($C914="","",IFERROR(INDEX(Orders!$B:$B,MATCH($C914,Orders!$A:$A,0)),""))</f>
        <v/>
      </c>
      <c r="E914" t="str">
        <f>IF($C914="","",IFERROR(INDEX(Orders!$D:$D,MATCH($C914,Orders!$A:$A,0)),""))</f>
        <v/>
      </c>
      <c r="H914" s="5"/>
      <c r="I914" s="5"/>
      <c r="J914" s="5"/>
      <c r="K914" s="5"/>
      <c r="L914" s="5" t="str">
        <f t="shared" si="14"/>
        <v/>
      </c>
    </row>
    <row r="915" spans="1:12">
      <c r="A915" s="4"/>
      <c r="D915" t="str">
        <f>IF($C915="","",IFERROR(INDEX(Orders!$B:$B,MATCH($C915,Orders!$A:$A,0)),""))</f>
        <v/>
      </c>
      <c r="E915" t="str">
        <f>IF($C915="","",IFERROR(INDEX(Orders!$D:$D,MATCH($C915,Orders!$A:$A,0)),""))</f>
        <v/>
      </c>
      <c r="H915" s="5"/>
      <c r="I915" s="5"/>
      <c r="J915" s="5"/>
      <c r="K915" s="5"/>
      <c r="L915" s="5" t="str">
        <f t="shared" si="14"/>
        <v/>
      </c>
    </row>
    <row r="916" spans="1:12">
      <c r="A916" s="4"/>
      <c r="D916" t="str">
        <f>IF($C916="","",IFERROR(INDEX(Orders!$B:$B,MATCH($C916,Orders!$A:$A,0)),""))</f>
        <v/>
      </c>
      <c r="E916" t="str">
        <f>IF($C916="","",IFERROR(INDEX(Orders!$D:$D,MATCH($C916,Orders!$A:$A,0)),""))</f>
        <v/>
      </c>
      <c r="H916" s="5"/>
      <c r="I916" s="5"/>
      <c r="J916" s="5"/>
      <c r="K916" s="5"/>
      <c r="L916" s="5" t="str">
        <f t="shared" si="14"/>
        <v/>
      </c>
    </row>
    <row r="917" spans="1:12">
      <c r="A917" s="4"/>
      <c r="D917" t="str">
        <f>IF($C917="","",IFERROR(INDEX(Orders!$B:$B,MATCH($C917,Orders!$A:$A,0)),""))</f>
        <v/>
      </c>
      <c r="E917" t="str">
        <f>IF($C917="","",IFERROR(INDEX(Orders!$D:$D,MATCH($C917,Orders!$A:$A,0)),""))</f>
        <v/>
      </c>
      <c r="H917" s="5"/>
      <c r="I917" s="5"/>
      <c r="J917" s="5"/>
      <c r="K917" s="5"/>
      <c r="L917" s="5" t="str">
        <f t="shared" si="14"/>
        <v/>
      </c>
    </row>
    <row r="918" spans="1:12">
      <c r="A918" s="4"/>
      <c r="D918" t="str">
        <f>IF($C918="","",IFERROR(INDEX(Orders!$B:$B,MATCH($C918,Orders!$A:$A,0)),""))</f>
        <v/>
      </c>
      <c r="E918" t="str">
        <f>IF($C918="","",IFERROR(INDEX(Orders!$D:$D,MATCH($C918,Orders!$A:$A,0)),""))</f>
        <v/>
      </c>
      <c r="H918" s="5"/>
      <c r="I918" s="5"/>
      <c r="J918" s="5"/>
      <c r="K918" s="5"/>
      <c r="L918" s="5" t="str">
        <f t="shared" si="14"/>
        <v/>
      </c>
    </row>
    <row r="919" spans="1:12">
      <c r="A919" s="4"/>
      <c r="D919" t="str">
        <f>IF($C919="","",IFERROR(INDEX(Orders!$B:$B,MATCH($C919,Orders!$A:$A,0)),""))</f>
        <v/>
      </c>
      <c r="E919" t="str">
        <f>IF($C919="","",IFERROR(INDEX(Orders!$D:$D,MATCH($C919,Orders!$A:$A,0)),""))</f>
        <v/>
      </c>
      <c r="H919" s="5"/>
      <c r="I919" s="5"/>
      <c r="J919" s="5"/>
      <c r="K919" s="5"/>
      <c r="L919" s="5" t="str">
        <f t="shared" si="14"/>
        <v/>
      </c>
    </row>
    <row r="920" spans="1:12">
      <c r="A920" s="4"/>
      <c r="D920" t="str">
        <f>IF($C920="","",IFERROR(INDEX(Orders!$B:$B,MATCH($C920,Orders!$A:$A,0)),""))</f>
        <v/>
      </c>
      <c r="E920" t="str">
        <f>IF($C920="","",IFERROR(INDEX(Orders!$D:$D,MATCH($C920,Orders!$A:$A,0)),""))</f>
        <v/>
      </c>
      <c r="H920" s="5"/>
      <c r="I920" s="5"/>
      <c r="J920" s="5"/>
      <c r="K920" s="5"/>
      <c r="L920" s="5" t="str">
        <f t="shared" si="14"/>
        <v/>
      </c>
    </row>
    <row r="921" spans="1:12">
      <c r="A921" s="4"/>
      <c r="D921" t="str">
        <f>IF($C921="","",IFERROR(INDEX(Orders!$B:$B,MATCH($C921,Orders!$A:$A,0)),""))</f>
        <v/>
      </c>
      <c r="E921" t="str">
        <f>IF($C921="","",IFERROR(INDEX(Orders!$D:$D,MATCH($C921,Orders!$A:$A,0)),""))</f>
        <v/>
      </c>
      <c r="H921" s="5"/>
      <c r="I921" s="5"/>
      <c r="J921" s="5"/>
      <c r="K921" s="5"/>
      <c r="L921" s="5" t="str">
        <f t="shared" si="14"/>
        <v/>
      </c>
    </row>
    <row r="922" spans="1:12">
      <c r="A922" s="4"/>
      <c r="D922" t="str">
        <f>IF($C922="","",IFERROR(INDEX(Orders!$B:$B,MATCH($C922,Orders!$A:$A,0)),""))</f>
        <v/>
      </c>
      <c r="E922" t="str">
        <f>IF($C922="","",IFERROR(INDEX(Orders!$D:$D,MATCH($C922,Orders!$A:$A,0)),""))</f>
        <v/>
      </c>
      <c r="H922" s="5"/>
      <c r="I922" s="5"/>
      <c r="J922" s="5"/>
      <c r="K922" s="5"/>
      <c r="L922" s="5" t="str">
        <f t="shared" si="14"/>
        <v/>
      </c>
    </row>
    <row r="923" spans="1:12">
      <c r="A923" s="4"/>
      <c r="D923" t="str">
        <f>IF($C923="","",IFERROR(INDEX(Orders!$B:$B,MATCH($C923,Orders!$A:$A,0)),""))</f>
        <v/>
      </c>
      <c r="E923" t="str">
        <f>IF($C923="","",IFERROR(INDEX(Orders!$D:$D,MATCH($C923,Orders!$A:$A,0)),""))</f>
        <v/>
      </c>
      <c r="H923" s="5"/>
      <c r="I923" s="5"/>
      <c r="J923" s="5"/>
      <c r="K923" s="5"/>
      <c r="L923" s="5" t="str">
        <f t="shared" si="14"/>
        <v/>
      </c>
    </row>
    <row r="924" spans="1:12">
      <c r="A924" s="4"/>
      <c r="D924" t="str">
        <f>IF($C924="","",IFERROR(INDEX(Orders!$B:$B,MATCH($C924,Orders!$A:$A,0)),""))</f>
        <v/>
      </c>
      <c r="E924" t="str">
        <f>IF($C924="","",IFERROR(INDEX(Orders!$D:$D,MATCH($C924,Orders!$A:$A,0)),""))</f>
        <v/>
      </c>
      <c r="H924" s="5"/>
      <c r="I924" s="5"/>
      <c r="J924" s="5"/>
      <c r="K924" s="5"/>
      <c r="L924" s="5" t="str">
        <f t="shared" si="14"/>
        <v/>
      </c>
    </row>
    <row r="925" spans="1:12">
      <c r="A925" s="4"/>
      <c r="D925" t="str">
        <f>IF($C925="","",IFERROR(INDEX(Orders!$B:$B,MATCH($C925,Orders!$A:$A,0)),""))</f>
        <v/>
      </c>
      <c r="E925" t="str">
        <f>IF($C925="","",IFERROR(INDEX(Orders!$D:$D,MATCH($C925,Orders!$A:$A,0)),""))</f>
        <v/>
      </c>
      <c r="H925" s="5"/>
      <c r="I925" s="5"/>
      <c r="J925" s="5"/>
      <c r="K925" s="5"/>
      <c r="L925" s="5" t="str">
        <f t="shared" si="14"/>
        <v/>
      </c>
    </row>
    <row r="926" spans="1:12">
      <c r="A926" s="4"/>
      <c r="D926" t="str">
        <f>IF($C926="","",IFERROR(INDEX(Orders!$B:$B,MATCH($C926,Orders!$A:$A,0)),""))</f>
        <v/>
      </c>
      <c r="E926" t="str">
        <f>IF($C926="","",IFERROR(INDEX(Orders!$D:$D,MATCH($C926,Orders!$A:$A,0)),""))</f>
        <v/>
      </c>
      <c r="H926" s="5"/>
      <c r="I926" s="5"/>
      <c r="J926" s="5"/>
      <c r="K926" s="5"/>
      <c r="L926" s="5" t="str">
        <f t="shared" si="14"/>
        <v/>
      </c>
    </row>
    <row r="927" spans="1:12">
      <c r="A927" s="4"/>
      <c r="D927" t="str">
        <f>IF($C927="","",IFERROR(INDEX(Orders!$B:$B,MATCH($C927,Orders!$A:$A,0)),""))</f>
        <v/>
      </c>
      <c r="E927" t="str">
        <f>IF($C927="","",IFERROR(INDEX(Orders!$D:$D,MATCH($C927,Orders!$A:$A,0)),""))</f>
        <v/>
      </c>
      <c r="H927" s="5"/>
      <c r="I927" s="5"/>
      <c r="J927" s="5"/>
      <c r="K927" s="5"/>
      <c r="L927" s="5" t="str">
        <f t="shared" si="14"/>
        <v/>
      </c>
    </row>
    <row r="928" spans="1:12">
      <c r="A928" s="4"/>
      <c r="D928" t="str">
        <f>IF($C928="","",IFERROR(INDEX(Orders!$B:$B,MATCH($C928,Orders!$A:$A,0)),""))</f>
        <v/>
      </c>
      <c r="E928" t="str">
        <f>IF($C928="","",IFERROR(INDEX(Orders!$D:$D,MATCH($C928,Orders!$A:$A,0)),""))</f>
        <v/>
      </c>
      <c r="H928" s="5"/>
      <c r="I928" s="5"/>
      <c r="J928" s="5"/>
      <c r="K928" s="5"/>
      <c r="L928" s="5" t="str">
        <f t="shared" si="14"/>
        <v/>
      </c>
    </row>
    <row r="929" spans="1:12">
      <c r="A929" s="4"/>
      <c r="D929" t="str">
        <f>IF($C929="","",IFERROR(INDEX(Orders!$B:$B,MATCH($C929,Orders!$A:$A,0)),""))</f>
        <v/>
      </c>
      <c r="E929" t="str">
        <f>IF($C929="","",IFERROR(INDEX(Orders!$D:$D,MATCH($C929,Orders!$A:$A,0)),""))</f>
        <v/>
      </c>
      <c r="H929" s="5"/>
      <c r="I929" s="5"/>
      <c r="J929" s="5"/>
      <c r="K929" s="5"/>
      <c r="L929" s="5" t="str">
        <f t="shared" si="14"/>
        <v/>
      </c>
    </row>
    <row r="930" spans="1:12">
      <c r="A930" s="4"/>
      <c r="D930" t="str">
        <f>IF($C930="","",IFERROR(INDEX(Orders!$B:$B,MATCH($C930,Orders!$A:$A,0)),""))</f>
        <v/>
      </c>
      <c r="E930" t="str">
        <f>IF($C930="","",IFERROR(INDEX(Orders!$D:$D,MATCH($C930,Orders!$A:$A,0)),""))</f>
        <v/>
      </c>
      <c r="H930" s="5"/>
      <c r="I930" s="5"/>
      <c r="J930" s="5"/>
      <c r="K930" s="5"/>
      <c r="L930" s="5" t="str">
        <f t="shared" si="14"/>
        <v/>
      </c>
    </row>
    <row r="931" spans="1:12">
      <c r="A931" s="4"/>
      <c r="D931" t="str">
        <f>IF($C931="","",IFERROR(INDEX(Orders!$B:$B,MATCH($C931,Orders!$A:$A,0)),""))</f>
        <v/>
      </c>
      <c r="E931" t="str">
        <f>IF($C931="","",IFERROR(INDEX(Orders!$D:$D,MATCH($C931,Orders!$A:$A,0)),""))</f>
        <v/>
      </c>
      <c r="H931" s="5"/>
      <c r="I931" s="5"/>
      <c r="J931" s="5"/>
      <c r="K931" s="5"/>
      <c r="L931" s="5" t="str">
        <f t="shared" si="14"/>
        <v/>
      </c>
    </row>
    <row r="932" spans="1:12">
      <c r="A932" s="4"/>
      <c r="D932" t="str">
        <f>IF($C932="","",IFERROR(INDEX(Orders!$B:$B,MATCH($C932,Orders!$A:$A,0)),""))</f>
        <v/>
      </c>
      <c r="E932" t="str">
        <f>IF($C932="","",IFERROR(INDEX(Orders!$D:$D,MATCH($C932,Orders!$A:$A,0)),""))</f>
        <v/>
      </c>
      <c r="H932" s="5"/>
      <c r="I932" s="5"/>
      <c r="J932" s="5"/>
      <c r="K932" s="5"/>
      <c r="L932" s="5" t="str">
        <f t="shared" si="14"/>
        <v/>
      </c>
    </row>
    <row r="933" spans="1:12">
      <c r="A933" s="4"/>
      <c r="D933" t="str">
        <f>IF($C933="","",IFERROR(INDEX(Orders!$B:$B,MATCH($C933,Orders!$A:$A,0)),""))</f>
        <v/>
      </c>
      <c r="E933" t="str">
        <f>IF($C933="","",IFERROR(INDEX(Orders!$D:$D,MATCH($C933,Orders!$A:$A,0)),""))</f>
        <v/>
      </c>
      <c r="H933" s="5"/>
      <c r="I933" s="5"/>
      <c r="J933" s="5"/>
      <c r="K933" s="5"/>
      <c r="L933" s="5" t="str">
        <f t="shared" si="14"/>
        <v/>
      </c>
    </row>
    <row r="934" spans="1:12">
      <c r="A934" s="4"/>
      <c r="D934" t="str">
        <f>IF($C934="","",IFERROR(INDEX(Orders!$B:$B,MATCH($C934,Orders!$A:$A,0)),""))</f>
        <v/>
      </c>
      <c r="E934" t="str">
        <f>IF($C934="","",IFERROR(INDEX(Orders!$D:$D,MATCH($C934,Orders!$A:$A,0)),""))</f>
        <v/>
      </c>
      <c r="H934" s="5"/>
      <c r="I934" s="5"/>
      <c r="J934" s="5"/>
      <c r="K934" s="5"/>
      <c r="L934" s="5" t="str">
        <f t="shared" si="14"/>
        <v/>
      </c>
    </row>
    <row r="935" spans="1:12">
      <c r="A935" s="4"/>
      <c r="D935" t="str">
        <f>IF($C935="","",IFERROR(INDEX(Orders!$B:$B,MATCH($C935,Orders!$A:$A,0)),""))</f>
        <v/>
      </c>
      <c r="E935" t="str">
        <f>IF($C935="","",IFERROR(INDEX(Orders!$D:$D,MATCH($C935,Orders!$A:$A,0)),""))</f>
        <v/>
      </c>
      <c r="H935" s="5"/>
      <c r="I935" s="5"/>
      <c r="J935" s="5"/>
      <c r="K935" s="5"/>
      <c r="L935" s="5" t="str">
        <f t="shared" si="14"/>
        <v/>
      </c>
    </row>
    <row r="936" spans="1:12">
      <c r="A936" s="4"/>
      <c r="D936" t="str">
        <f>IF($C936="","",IFERROR(INDEX(Orders!$B:$B,MATCH($C936,Orders!$A:$A,0)),""))</f>
        <v/>
      </c>
      <c r="E936" t="str">
        <f>IF($C936="","",IFERROR(INDEX(Orders!$D:$D,MATCH($C936,Orders!$A:$A,0)),""))</f>
        <v/>
      </c>
      <c r="H936" s="5"/>
      <c r="I936" s="5"/>
      <c r="J936" s="5"/>
      <c r="K936" s="5"/>
      <c r="L936" s="5" t="str">
        <f t="shared" si="14"/>
        <v/>
      </c>
    </row>
    <row r="937" spans="1:12">
      <c r="A937" s="4"/>
      <c r="D937" t="str">
        <f>IF($C937="","",IFERROR(INDEX(Orders!$B:$B,MATCH($C937,Orders!$A:$A,0)),""))</f>
        <v/>
      </c>
      <c r="E937" t="str">
        <f>IF($C937="","",IFERROR(INDEX(Orders!$D:$D,MATCH($C937,Orders!$A:$A,0)),""))</f>
        <v/>
      </c>
      <c r="H937" s="5"/>
      <c r="I937" s="5"/>
      <c r="J937" s="5"/>
      <c r="K937" s="5"/>
      <c r="L937" s="5" t="str">
        <f t="shared" si="14"/>
        <v/>
      </c>
    </row>
    <row r="938" spans="1:12">
      <c r="A938" s="4"/>
      <c r="D938" t="str">
        <f>IF($C938="","",IFERROR(INDEX(Orders!$B:$B,MATCH($C938,Orders!$A:$A,0)),""))</f>
        <v/>
      </c>
      <c r="E938" t="str">
        <f>IF($C938="","",IFERROR(INDEX(Orders!$D:$D,MATCH($C938,Orders!$A:$A,0)),""))</f>
        <v/>
      </c>
      <c r="H938" s="5"/>
      <c r="I938" s="5"/>
      <c r="J938" s="5"/>
      <c r="K938" s="5"/>
      <c r="L938" s="5" t="str">
        <f t="shared" si="14"/>
        <v/>
      </c>
    </row>
    <row r="939" spans="1:12">
      <c r="A939" s="4"/>
      <c r="D939" t="str">
        <f>IF($C939="","",IFERROR(INDEX(Orders!$B:$B,MATCH($C939,Orders!$A:$A,0)),""))</f>
        <v/>
      </c>
      <c r="E939" t="str">
        <f>IF($C939="","",IFERROR(INDEX(Orders!$D:$D,MATCH($C939,Orders!$A:$A,0)),""))</f>
        <v/>
      </c>
      <c r="H939" s="5"/>
      <c r="I939" s="5"/>
      <c r="J939" s="5"/>
      <c r="K939" s="5"/>
      <c r="L939" s="5" t="str">
        <f t="shared" si="14"/>
        <v/>
      </c>
    </row>
    <row r="940" spans="1:12">
      <c r="A940" s="4"/>
      <c r="D940" t="str">
        <f>IF($C940="","",IFERROR(INDEX(Orders!$B:$B,MATCH($C940,Orders!$A:$A,0)),""))</f>
        <v/>
      </c>
      <c r="E940" t="str">
        <f>IF($C940="","",IFERROR(INDEX(Orders!$D:$D,MATCH($C940,Orders!$A:$A,0)),""))</f>
        <v/>
      </c>
      <c r="H940" s="5"/>
      <c r="I940" s="5"/>
      <c r="J940" s="5"/>
      <c r="K940" s="5"/>
      <c r="L940" s="5" t="str">
        <f t="shared" si="14"/>
        <v/>
      </c>
    </row>
    <row r="941" spans="1:12">
      <c r="A941" s="4"/>
      <c r="D941" t="str">
        <f>IF($C941="","",IFERROR(INDEX(Orders!$B:$B,MATCH($C941,Orders!$A:$A,0)),""))</f>
        <v/>
      </c>
      <c r="E941" t="str">
        <f>IF($C941="","",IFERROR(INDEX(Orders!$D:$D,MATCH($C941,Orders!$A:$A,0)),""))</f>
        <v/>
      </c>
      <c r="H941" s="5"/>
      <c r="I941" s="5"/>
      <c r="J941" s="5"/>
      <c r="K941" s="5"/>
      <c r="L941" s="5" t="str">
        <f t="shared" si="14"/>
        <v/>
      </c>
    </row>
    <row r="942" spans="1:12">
      <c r="A942" s="4"/>
      <c r="D942" t="str">
        <f>IF($C942="","",IFERROR(INDEX(Orders!$B:$B,MATCH($C942,Orders!$A:$A,0)),""))</f>
        <v/>
      </c>
      <c r="E942" t="str">
        <f>IF($C942="","",IFERROR(INDEX(Orders!$D:$D,MATCH($C942,Orders!$A:$A,0)),""))</f>
        <v/>
      </c>
      <c r="H942" s="5"/>
      <c r="I942" s="5"/>
      <c r="J942" s="5"/>
      <c r="K942" s="5"/>
      <c r="L942" s="5" t="str">
        <f t="shared" si="14"/>
        <v/>
      </c>
    </row>
    <row r="943" spans="1:12">
      <c r="A943" s="4"/>
      <c r="D943" t="str">
        <f>IF($C943="","",IFERROR(INDEX(Orders!$B:$B,MATCH($C943,Orders!$A:$A,0)),""))</f>
        <v/>
      </c>
      <c r="E943" t="str">
        <f>IF($C943="","",IFERROR(INDEX(Orders!$D:$D,MATCH($C943,Orders!$A:$A,0)),""))</f>
        <v/>
      </c>
      <c r="H943" s="5"/>
      <c r="I943" s="5"/>
      <c r="J943" s="5"/>
      <c r="K943" s="5"/>
      <c r="L943" s="5" t="str">
        <f t="shared" si="14"/>
        <v/>
      </c>
    </row>
    <row r="944" spans="1:12">
      <c r="A944" s="4"/>
      <c r="D944" t="str">
        <f>IF($C944="","",IFERROR(INDEX(Orders!$B:$B,MATCH($C944,Orders!$A:$A,0)),""))</f>
        <v/>
      </c>
      <c r="E944" t="str">
        <f>IF($C944="","",IFERROR(INDEX(Orders!$D:$D,MATCH($C944,Orders!$A:$A,0)),""))</f>
        <v/>
      </c>
      <c r="H944" s="5"/>
      <c r="I944" s="5"/>
      <c r="J944" s="5"/>
      <c r="K944" s="5"/>
      <c r="L944" s="5" t="str">
        <f t="shared" si="14"/>
        <v/>
      </c>
    </row>
    <row r="945" spans="1:12">
      <c r="A945" s="4"/>
      <c r="D945" t="str">
        <f>IF($C945="","",IFERROR(INDEX(Orders!$B:$B,MATCH($C945,Orders!$A:$A,0)),""))</f>
        <v/>
      </c>
      <c r="E945" t="str">
        <f>IF($C945="","",IFERROR(INDEX(Orders!$D:$D,MATCH($C945,Orders!$A:$A,0)),""))</f>
        <v/>
      </c>
      <c r="H945" s="5"/>
      <c r="I945" s="5"/>
      <c r="J945" s="5"/>
      <c r="K945" s="5"/>
      <c r="L945" s="5" t="str">
        <f t="shared" si="14"/>
        <v/>
      </c>
    </row>
    <row r="946" spans="1:12">
      <c r="A946" s="4"/>
      <c r="D946" t="str">
        <f>IF($C946="","",IFERROR(INDEX(Orders!$B:$B,MATCH($C946,Orders!$A:$A,0)),""))</f>
        <v/>
      </c>
      <c r="E946" t="str">
        <f>IF($C946="","",IFERROR(INDEX(Orders!$D:$D,MATCH($C946,Orders!$A:$A,0)),""))</f>
        <v/>
      </c>
      <c r="H946" s="5"/>
      <c r="I946" s="5"/>
      <c r="J946" s="5"/>
      <c r="K946" s="5"/>
      <c r="L946" s="5" t="str">
        <f t="shared" si="14"/>
        <v/>
      </c>
    </row>
    <row r="947" spans="1:12">
      <c r="A947" s="4"/>
      <c r="D947" t="str">
        <f>IF($C947="","",IFERROR(INDEX(Orders!$B:$B,MATCH($C947,Orders!$A:$A,0)),""))</f>
        <v/>
      </c>
      <c r="E947" t="str">
        <f>IF($C947="","",IFERROR(INDEX(Orders!$D:$D,MATCH($C947,Orders!$A:$A,0)),""))</f>
        <v/>
      </c>
      <c r="H947" s="5"/>
      <c r="I947" s="5"/>
      <c r="J947" s="5"/>
      <c r="K947" s="5"/>
      <c r="L947" s="5" t="str">
        <f t="shared" si="14"/>
        <v/>
      </c>
    </row>
    <row r="948" spans="1:12">
      <c r="A948" s="4"/>
      <c r="D948" t="str">
        <f>IF($C948="","",IFERROR(INDEX(Orders!$B:$B,MATCH($C948,Orders!$A:$A,0)),""))</f>
        <v/>
      </c>
      <c r="E948" t="str">
        <f>IF($C948="","",IFERROR(INDEX(Orders!$D:$D,MATCH($C948,Orders!$A:$A,0)),""))</f>
        <v/>
      </c>
      <c r="H948" s="5"/>
      <c r="I948" s="5"/>
      <c r="J948" s="5"/>
      <c r="K948" s="5"/>
      <c r="L948" s="5" t="str">
        <f t="shared" si="14"/>
        <v/>
      </c>
    </row>
    <row r="949" spans="1:12">
      <c r="A949" s="4"/>
      <c r="D949" t="str">
        <f>IF($C949="","",IFERROR(INDEX(Orders!$B:$B,MATCH($C949,Orders!$A:$A,0)),""))</f>
        <v/>
      </c>
      <c r="E949" t="str">
        <f>IF($C949="","",IFERROR(INDEX(Orders!$D:$D,MATCH($C949,Orders!$A:$A,0)),""))</f>
        <v/>
      </c>
      <c r="H949" s="5"/>
      <c r="I949" s="5"/>
      <c r="J949" s="5"/>
      <c r="K949" s="5"/>
      <c r="L949" s="5" t="str">
        <f t="shared" si="14"/>
        <v/>
      </c>
    </row>
    <row r="950" spans="1:12">
      <c r="A950" s="4"/>
      <c r="D950" t="str">
        <f>IF($C950="","",IFERROR(INDEX(Orders!$B:$B,MATCH($C950,Orders!$A:$A,0)),""))</f>
        <v/>
      </c>
      <c r="E950" t="str">
        <f>IF($C950="","",IFERROR(INDEX(Orders!$D:$D,MATCH($C950,Orders!$A:$A,0)),""))</f>
        <v/>
      </c>
      <c r="H950" s="5"/>
      <c r="I950" s="5"/>
      <c r="J950" s="5"/>
      <c r="K950" s="5"/>
      <c r="L950" s="5" t="str">
        <f t="shared" si="14"/>
        <v/>
      </c>
    </row>
    <row r="951" spans="1:12">
      <c r="A951" s="4"/>
      <c r="D951" t="str">
        <f>IF($C951="","",IFERROR(INDEX(Orders!$B:$B,MATCH($C951,Orders!$A:$A,0)),""))</f>
        <v/>
      </c>
      <c r="E951" t="str">
        <f>IF($C951="","",IFERROR(INDEX(Orders!$D:$D,MATCH($C951,Orders!$A:$A,0)),""))</f>
        <v/>
      </c>
      <c r="H951" s="5"/>
      <c r="I951" s="5"/>
      <c r="J951" s="5"/>
      <c r="K951" s="5"/>
      <c r="L951" s="5" t="str">
        <f t="shared" si="14"/>
        <v/>
      </c>
    </row>
    <row r="952" spans="1:12">
      <c r="A952" s="4"/>
      <c r="D952" t="str">
        <f>IF($C952="","",IFERROR(INDEX(Orders!$B:$B,MATCH($C952,Orders!$A:$A,0)),""))</f>
        <v/>
      </c>
      <c r="E952" t="str">
        <f>IF($C952="","",IFERROR(INDEX(Orders!$D:$D,MATCH($C952,Orders!$A:$A,0)),""))</f>
        <v/>
      </c>
      <c r="H952" s="5"/>
      <c r="I952" s="5"/>
      <c r="J952" s="5"/>
      <c r="K952" s="5"/>
      <c r="L952" s="5" t="str">
        <f t="shared" si="14"/>
        <v/>
      </c>
    </row>
    <row r="953" spans="1:12">
      <c r="A953" s="4"/>
      <c r="D953" t="str">
        <f>IF($C953="","",IFERROR(INDEX(Orders!$B:$B,MATCH($C953,Orders!$A:$A,0)),""))</f>
        <v/>
      </c>
      <c r="E953" t="str">
        <f>IF($C953="","",IFERROR(INDEX(Orders!$D:$D,MATCH($C953,Orders!$A:$A,0)),""))</f>
        <v/>
      </c>
      <c r="H953" s="5"/>
      <c r="I953" s="5"/>
      <c r="J953" s="5"/>
      <c r="K953" s="5"/>
      <c r="L953" s="5" t="str">
        <f t="shared" si="14"/>
        <v/>
      </c>
    </row>
    <row r="954" spans="1:12">
      <c r="A954" s="4"/>
      <c r="D954" t="str">
        <f>IF($C954="","",IFERROR(INDEX(Orders!$B:$B,MATCH($C954,Orders!$A:$A,0)),""))</f>
        <v/>
      </c>
      <c r="E954" t="str">
        <f>IF($C954="","",IFERROR(INDEX(Orders!$D:$D,MATCH($C954,Orders!$A:$A,0)),""))</f>
        <v/>
      </c>
      <c r="H954" s="5"/>
      <c r="I954" s="5"/>
      <c r="J954" s="5"/>
      <c r="K954" s="5"/>
      <c r="L954" s="5" t="str">
        <f t="shared" si="14"/>
        <v/>
      </c>
    </row>
    <row r="955" spans="1:12">
      <c r="A955" s="4"/>
      <c r="D955" t="str">
        <f>IF($C955="","",IFERROR(INDEX(Orders!$B:$B,MATCH($C955,Orders!$A:$A,0)),""))</f>
        <v/>
      </c>
      <c r="E955" t="str">
        <f>IF($C955="","",IFERROR(INDEX(Orders!$D:$D,MATCH($C955,Orders!$A:$A,0)),""))</f>
        <v/>
      </c>
      <c r="H955" s="5"/>
      <c r="I955" s="5"/>
      <c r="J955" s="5"/>
      <c r="K955" s="5"/>
      <c r="L955" s="5" t="str">
        <f t="shared" si="14"/>
        <v/>
      </c>
    </row>
    <row r="956" spans="1:12">
      <c r="A956" s="4"/>
      <c r="D956" t="str">
        <f>IF($C956="","",IFERROR(INDEX(Orders!$B:$B,MATCH($C956,Orders!$A:$A,0)),""))</f>
        <v/>
      </c>
      <c r="E956" t="str">
        <f>IF($C956="","",IFERROR(INDEX(Orders!$D:$D,MATCH($C956,Orders!$A:$A,0)),""))</f>
        <v/>
      </c>
      <c r="H956" s="5"/>
      <c r="I956" s="5"/>
      <c r="J956" s="5"/>
      <c r="K956" s="5"/>
      <c r="L956" s="5" t="str">
        <f t="shared" si="14"/>
        <v/>
      </c>
    </row>
    <row r="957" spans="1:12">
      <c r="A957" s="4"/>
      <c r="D957" t="str">
        <f>IF($C957="","",IFERROR(INDEX(Orders!$B:$B,MATCH($C957,Orders!$A:$A,0)),""))</f>
        <v/>
      </c>
      <c r="E957" t="str">
        <f>IF($C957="","",IFERROR(INDEX(Orders!$D:$D,MATCH($C957,Orders!$A:$A,0)),""))</f>
        <v/>
      </c>
      <c r="H957" s="5"/>
      <c r="I957" s="5"/>
      <c r="J957" s="5"/>
      <c r="K957" s="5"/>
      <c r="L957" s="5" t="str">
        <f t="shared" si="14"/>
        <v/>
      </c>
    </row>
    <row r="958" spans="1:12">
      <c r="A958" s="4"/>
      <c r="D958" t="str">
        <f>IF($C958="","",IFERROR(INDEX(Orders!$B:$B,MATCH($C958,Orders!$A:$A,0)),""))</f>
        <v/>
      </c>
      <c r="E958" t="str">
        <f>IF($C958="","",IFERROR(INDEX(Orders!$D:$D,MATCH($C958,Orders!$A:$A,0)),""))</f>
        <v/>
      </c>
      <c r="H958" s="5"/>
      <c r="I958" s="5"/>
      <c r="J958" s="5"/>
      <c r="K958" s="5"/>
      <c r="L958" s="5" t="str">
        <f t="shared" si="14"/>
        <v/>
      </c>
    </row>
    <row r="959" spans="1:12">
      <c r="A959" s="4"/>
      <c r="D959" t="str">
        <f>IF($C959="","",IFERROR(INDEX(Orders!$B:$B,MATCH($C959,Orders!$A:$A,0)),""))</f>
        <v/>
      </c>
      <c r="E959" t="str">
        <f>IF($C959="","",IFERROR(INDEX(Orders!$D:$D,MATCH($C959,Orders!$A:$A,0)),""))</f>
        <v/>
      </c>
      <c r="H959" s="5"/>
      <c r="I959" s="5"/>
      <c r="J959" s="5"/>
      <c r="K959" s="5"/>
      <c r="L959" s="5" t="str">
        <f t="shared" si="14"/>
        <v/>
      </c>
    </row>
    <row r="960" spans="1:12">
      <c r="A960" s="4"/>
      <c r="D960" t="str">
        <f>IF($C960="","",IFERROR(INDEX(Orders!$B:$B,MATCH($C960,Orders!$A:$A,0)),""))</f>
        <v/>
      </c>
      <c r="E960" t="str">
        <f>IF($C960="","",IFERROR(INDEX(Orders!$D:$D,MATCH($C960,Orders!$A:$A,0)),""))</f>
        <v/>
      </c>
      <c r="H960" s="5"/>
      <c r="I960" s="5"/>
      <c r="J960" s="5"/>
      <c r="K960" s="5"/>
      <c r="L960" s="5" t="str">
        <f t="shared" si="14"/>
        <v/>
      </c>
    </row>
    <row r="961" spans="1:12">
      <c r="A961" s="4"/>
      <c r="D961" t="str">
        <f>IF($C961="","",IFERROR(INDEX(Orders!$B:$B,MATCH($C961,Orders!$A:$A,0)),""))</f>
        <v/>
      </c>
      <c r="E961" t="str">
        <f>IF($C961="","",IFERROR(INDEX(Orders!$D:$D,MATCH($C961,Orders!$A:$A,0)),""))</f>
        <v/>
      </c>
      <c r="H961" s="5"/>
      <c r="I961" s="5"/>
      <c r="J961" s="5"/>
      <c r="K961" s="5"/>
      <c r="L961" s="5" t="str">
        <f t="shared" si="14"/>
        <v/>
      </c>
    </row>
    <row r="962" spans="1:12">
      <c r="A962" s="4"/>
      <c r="D962" t="str">
        <f>IF($C962="","",IFERROR(INDEX(Orders!$B:$B,MATCH($C962,Orders!$A:$A,0)),""))</f>
        <v/>
      </c>
      <c r="E962" t="str">
        <f>IF($C962="","",IFERROR(INDEX(Orders!$D:$D,MATCH($C962,Orders!$A:$A,0)),""))</f>
        <v/>
      </c>
      <c r="H962" s="5"/>
      <c r="I962" s="5"/>
      <c r="J962" s="5"/>
      <c r="K962" s="5"/>
      <c r="L962" s="5" t="str">
        <f t="shared" ref="L962:L1000" si="15">IF($C962="","",$H962-$I962-$K962)</f>
        <v/>
      </c>
    </row>
    <row r="963" spans="1:12">
      <c r="A963" s="4"/>
      <c r="D963" t="str">
        <f>IF($C963="","",IFERROR(INDEX(Orders!$B:$B,MATCH($C963,Orders!$A:$A,0)),""))</f>
        <v/>
      </c>
      <c r="E963" t="str">
        <f>IF($C963="","",IFERROR(INDEX(Orders!$D:$D,MATCH($C963,Orders!$A:$A,0)),""))</f>
        <v/>
      </c>
      <c r="H963" s="5"/>
      <c r="I963" s="5"/>
      <c r="J963" s="5"/>
      <c r="K963" s="5"/>
      <c r="L963" s="5" t="str">
        <f t="shared" si="15"/>
        <v/>
      </c>
    </row>
    <row r="964" spans="1:12">
      <c r="A964" s="4"/>
      <c r="D964" t="str">
        <f>IF($C964="","",IFERROR(INDEX(Orders!$B:$B,MATCH($C964,Orders!$A:$A,0)),""))</f>
        <v/>
      </c>
      <c r="E964" t="str">
        <f>IF($C964="","",IFERROR(INDEX(Orders!$D:$D,MATCH($C964,Orders!$A:$A,0)),""))</f>
        <v/>
      </c>
      <c r="H964" s="5"/>
      <c r="I964" s="5"/>
      <c r="J964" s="5"/>
      <c r="K964" s="5"/>
      <c r="L964" s="5" t="str">
        <f t="shared" si="15"/>
        <v/>
      </c>
    </row>
    <row r="965" spans="1:12">
      <c r="A965" s="4"/>
      <c r="D965" t="str">
        <f>IF($C965="","",IFERROR(INDEX(Orders!$B:$B,MATCH($C965,Orders!$A:$A,0)),""))</f>
        <v/>
      </c>
      <c r="E965" t="str">
        <f>IF($C965="","",IFERROR(INDEX(Orders!$D:$D,MATCH($C965,Orders!$A:$A,0)),""))</f>
        <v/>
      </c>
      <c r="H965" s="5"/>
      <c r="I965" s="5"/>
      <c r="J965" s="5"/>
      <c r="K965" s="5"/>
      <c r="L965" s="5" t="str">
        <f t="shared" si="15"/>
        <v/>
      </c>
    </row>
    <row r="966" spans="1:12">
      <c r="A966" s="4"/>
      <c r="D966" t="str">
        <f>IF($C966="","",IFERROR(INDEX(Orders!$B:$B,MATCH($C966,Orders!$A:$A,0)),""))</f>
        <v/>
      </c>
      <c r="E966" t="str">
        <f>IF($C966="","",IFERROR(INDEX(Orders!$D:$D,MATCH($C966,Orders!$A:$A,0)),""))</f>
        <v/>
      </c>
      <c r="H966" s="5"/>
      <c r="I966" s="5"/>
      <c r="J966" s="5"/>
      <c r="K966" s="5"/>
      <c r="L966" s="5" t="str">
        <f t="shared" si="15"/>
        <v/>
      </c>
    </row>
    <row r="967" spans="1:12">
      <c r="A967" s="4"/>
      <c r="D967" t="str">
        <f>IF($C967="","",IFERROR(INDEX(Orders!$B:$B,MATCH($C967,Orders!$A:$A,0)),""))</f>
        <v/>
      </c>
      <c r="E967" t="str">
        <f>IF($C967="","",IFERROR(INDEX(Orders!$D:$D,MATCH($C967,Orders!$A:$A,0)),""))</f>
        <v/>
      </c>
      <c r="H967" s="5"/>
      <c r="I967" s="5"/>
      <c r="J967" s="5"/>
      <c r="K967" s="5"/>
      <c r="L967" s="5" t="str">
        <f t="shared" si="15"/>
        <v/>
      </c>
    </row>
    <row r="968" spans="1:12">
      <c r="A968" s="4"/>
      <c r="D968" t="str">
        <f>IF($C968="","",IFERROR(INDEX(Orders!$B:$B,MATCH($C968,Orders!$A:$A,0)),""))</f>
        <v/>
      </c>
      <c r="E968" t="str">
        <f>IF($C968="","",IFERROR(INDEX(Orders!$D:$D,MATCH($C968,Orders!$A:$A,0)),""))</f>
        <v/>
      </c>
      <c r="H968" s="5"/>
      <c r="I968" s="5"/>
      <c r="J968" s="5"/>
      <c r="K968" s="5"/>
      <c r="L968" s="5" t="str">
        <f t="shared" si="15"/>
        <v/>
      </c>
    </row>
    <row r="969" spans="1:12">
      <c r="A969" s="4"/>
      <c r="D969" t="str">
        <f>IF($C969="","",IFERROR(INDEX(Orders!$B:$B,MATCH($C969,Orders!$A:$A,0)),""))</f>
        <v/>
      </c>
      <c r="E969" t="str">
        <f>IF($C969="","",IFERROR(INDEX(Orders!$D:$D,MATCH($C969,Orders!$A:$A,0)),""))</f>
        <v/>
      </c>
      <c r="H969" s="5"/>
      <c r="I969" s="5"/>
      <c r="J969" s="5"/>
      <c r="K969" s="5"/>
      <c r="L969" s="5" t="str">
        <f t="shared" si="15"/>
        <v/>
      </c>
    </row>
    <row r="970" spans="1:12">
      <c r="A970" s="4"/>
      <c r="D970" t="str">
        <f>IF($C970="","",IFERROR(INDEX(Orders!$B:$B,MATCH($C970,Orders!$A:$A,0)),""))</f>
        <v/>
      </c>
      <c r="E970" t="str">
        <f>IF($C970="","",IFERROR(INDEX(Orders!$D:$D,MATCH($C970,Orders!$A:$A,0)),""))</f>
        <v/>
      </c>
      <c r="H970" s="5"/>
      <c r="I970" s="5"/>
      <c r="J970" s="5"/>
      <c r="K970" s="5"/>
      <c r="L970" s="5" t="str">
        <f t="shared" si="15"/>
        <v/>
      </c>
    </row>
    <row r="971" spans="1:12">
      <c r="A971" s="4"/>
      <c r="D971" t="str">
        <f>IF($C971="","",IFERROR(INDEX(Orders!$B:$B,MATCH($C971,Orders!$A:$A,0)),""))</f>
        <v/>
      </c>
      <c r="E971" t="str">
        <f>IF($C971="","",IFERROR(INDEX(Orders!$D:$D,MATCH($C971,Orders!$A:$A,0)),""))</f>
        <v/>
      </c>
      <c r="H971" s="5"/>
      <c r="I971" s="5"/>
      <c r="J971" s="5"/>
      <c r="K971" s="5"/>
      <c r="L971" s="5" t="str">
        <f t="shared" si="15"/>
        <v/>
      </c>
    </row>
    <row r="972" spans="1:12">
      <c r="A972" s="4"/>
      <c r="D972" t="str">
        <f>IF($C972="","",IFERROR(INDEX(Orders!$B:$B,MATCH($C972,Orders!$A:$A,0)),""))</f>
        <v/>
      </c>
      <c r="E972" t="str">
        <f>IF($C972="","",IFERROR(INDEX(Orders!$D:$D,MATCH($C972,Orders!$A:$A,0)),""))</f>
        <v/>
      </c>
      <c r="H972" s="5"/>
      <c r="I972" s="5"/>
      <c r="J972" s="5"/>
      <c r="K972" s="5"/>
      <c r="L972" s="5" t="str">
        <f t="shared" si="15"/>
        <v/>
      </c>
    </row>
    <row r="973" spans="1:12">
      <c r="A973" s="4"/>
      <c r="D973" t="str">
        <f>IF($C973="","",IFERROR(INDEX(Orders!$B:$B,MATCH($C973,Orders!$A:$A,0)),""))</f>
        <v/>
      </c>
      <c r="E973" t="str">
        <f>IF($C973="","",IFERROR(INDEX(Orders!$D:$D,MATCH($C973,Orders!$A:$A,0)),""))</f>
        <v/>
      </c>
      <c r="H973" s="5"/>
      <c r="I973" s="5"/>
      <c r="J973" s="5"/>
      <c r="K973" s="5"/>
      <c r="L973" s="5" t="str">
        <f t="shared" si="15"/>
        <v/>
      </c>
    </row>
    <row r="974" spans="1:12">
      <c r="A974" s="4"/>
      <c r="D974" t="str">
        <f>IF($C974="","",IFERROR(INDEX(Orders!$B:$B,MATCH($C974,Orders!$A:$A,0)),""))</f>
        <v/>
      </c>
      <c r="E974" t="str">
        <f>IF($C974="","",IFERROR(INDEX(Orders!$D:$D,MATCH($C974,Orders!$A:$A,0)),""))</f>
        <v/>
      </c>
      <c r="H974" s="5"/>
      <c r="I974" s="5"/>
      <c r="J974" s="5"/>
      <c r="K974" s="5"/>
      <c r="L974" s="5" t="str">
        <f t="shared" si="15"/>
        <v/>
      </c>
    </row>
    <row r="975" spans="1:12">
      <c r="A975" s="4"/>
      <c r="D975" t="str">
        <f>IF($C975="","",IFERROR(INDEX(Orders!$B:$B,MATCH($C975,Orders!$A:$A,0)),""))</f>
        <v/>
      </c>
      <c r="E975" t="str">
        <f>IF($C975="","",IFERROR(INDEX(Orders!$D:$D,MATCH($C975,Orders!$A:$A,0)),""))</f>
        <v/>
      </c>
      <c r="H975" s="5"/>
      <c r="I975" s="5"/>
      <c r="J975" s="5"/>
      <c r="K975" s="5"/>
      <c r="L975" s="5" t="str">
        <f t="shared" si="15"/>
        <v/>
      </c>
    </row>
    <row r="976" spans="1:12">
      <c r="A976" s="4"/>
      <c r="D976" t="str">
        <f>IF($C976="","",IFERROR(INDEX(Orders!$B:$B,MATCH($C976,Orders!$A:$A,0)),""))</f>
        <v/>
      </c>
      <c r="E976" t="str">
        <f>IF($C976="","",IFERROR(INDEX(Orders!$D:$D,MATCH($C976,Orders!$A:$A,0)),""))</f>
        <v/>
      </c>
      <c r="H976" s="5"/>
      <c r="I976" s="5"/>
      <c r="J976" s="5"/>
      <c r="K976" s="5"/>
      <c r="L976" s="5" t="str">
        <f t="shared" si="15"/>
        <v/>
      </c>
    </row>
    <row r="977" spans="1:12">
      <c r="A977" s="4"/>
      <c r="D977" t="str">
        <f>IF($C977="","",IFERROR(INDEX(Orders!$B:$B,MATCH($C977,Orders!$A:$A,0)),""))</f>
        <v/>
      </c>
      <c r="E977" t="str">
        <f>IF($C977="","",IFERROR(INDEX(Orders!$D:$D,MATCH($C977,Orders!$A:$A,0)),""))</f>
        <v/>
      </c>
      <c r="H977" s="5"/>
      <c r="I977" s="5"/>
      <c r="J977" s="5"/>
      <c r="K977" s="5"/>
      <c r="L977" s="5" t="str">
        <f t="shared" si="15"/>
        <v/>
      </c>
    </row>
    <row r="978" spans="1:12">
      <c r="A978" s="4"/>
      <c r="D978" t="str">
        <f>IF($C978="","",IFERROR(INDEX(Orders!$B:$B,MATCH($C978,Orders!$A:$A,0)),""))</f>
        <v/>
      </c>
      <c r="E978" t="str">
        <f>IF($C978="","",IFERROR(INDEX(Orders!$D:$D,MATCH($C978,Orders!$A:$A,0)),""))</f>
        <v/>
      </c>
      <c r="H978" s="5"/>
      <c r="I978" s="5"/>
      <c r="J978" s="5"/>
      <c r="K978" s="5"/>
      <c r="L978" s="5" t="str">
        <f t="shared" si="15"/>
        <v/>
      </c>
    </row>
    <row r="979" spans="1:12">
      <c r="A979" s="4"/>
      <c r="D979" t="str">
        <f>IF($C979="","",IFERROR(INDEX(Orders!$B:$B,MATCH($C979,Orders!$A:$A,0)),""))</f>
        <v/>
      </c>
      <c r="E979" t="str">
        <f>IF($C979="","",IFERROR(INDEX(Orders!$D:$D,MATCH($C979,Orders!$A:$A,0)),""))</f>
        <v/>
      </c>
      <c r="H979" s="5"/>
      <c r="I979" s="5"/>
      <c r="J979" s="5"/>
      <c r="K979" s="5"/>
      <c r="L979" s="5" t="str">
        <f t="shared" si="15"/>
        <v/>
      </c>
    </row>
    <row r="980" spans="1:12">
      <c r="A980" s="4"/>
      <c r="D980" t="str">
        <f>IF($C980="","",IFERROR(INDEX(Orders!$B:$B,MATCH($C980,Orders!$A:$A,0)),""))</f>
        <v/>
      </c>
      <c r="E980" t="str">
        <f>IF($C980="","",IFERROR(INDEX(Orders!$D:$D,MATCH($C980,Orders!$A:$A,0)),""))</f>
        <v/>
      </c>
      <c r="H980" s="5"/>
      <c r="I980" s="5"/>
      <c r="J980" s="5"/>
      <c r="K980" s="5"/>
      <c r="L980" s="5" t="str">
        <f t="shared" si="15"/>
        <v/>
      </c>
    </row>
    <row r="981" spans="1:12">
      <c r="A981" s="4"/>
      <c r="D981" t="str">
        <f>IF($C981="","",IFERROR(INDEX(Orders!$B:$B,MATCH($C981,Orders!$A:$A,0)),""))</f>
        <v/>
      </c>
      <c r="E981" t="str">
        <f>IF($C981="","",IFERROR(INDEX(Orders!$D:$D,MATCH($C981,Orders!$A:$A,0)),""))</f>
        <v/>
      </c>
      <c r="H981" s="5"/>
      <c r="I981" s="5"/>
      <c r="J981" s="5"/>
      <c r="K981" s="5"/>
      <c r="L981" s="5" t="str">
        <f t="shared" si="15"/>
        <v/>
      </c>
    </row>
    <row r="982" spans="1:12">
      <c r="A982" s="4"/>
      <c r="D982" t="str">
        <f>IF($C982="","",IFERROR(INDEX(Orders!$B:$B,MATCH($C982,Orders!$A:$A,0)),""))</f>
        <v/>
      </c>
      <c r="E982" t="str">
        <f>IF($C982="","",IFERROR(INDEX(Orders!$D:$D,MATCH($C982,Orders!$A:$A,0)),""))</f>
        <v/>
      </c>
      <c r="H982" s="5"/>
      <c r="I982" s="5"/>
      <c r="J982" s="5"/>
      <c r="K982" s="5"/>
      <c r="L982" s="5" t="str">
        <f t="shared" si="15"/>
        <v/>
      </c>
    </row>
    <row r="983" spans="1:12">
      <c r="A983" s="4"/>
      <c r="D983" t="str">
        <f>IF($C983="","",IFERROR(INDEX(Orders!$B:$B,MATCH($C983,Orders!$A:$A,0)),""))</f>
        <v/>
      </c>
      <c r="E983" t="str">
        <f>IF($C983="","",IFERROR(INDEX(Orders!$D:$D,MATCH($C983,Orders!$A:$A,0)),""))</f>
        <v/>
      </c>
      <c r="H983" s="5"/>
      <c r="I983" s="5"/>
      <c r="J983" s="5"/>
      <c r="K983" s="5"/>
      <c r="L983" s="5" t="str">
        <f t="shared" si="15"/>
        <v/>
      </c>
    </row>
    <row r="984" spans="1:12">
      <c r="A984" s="4"/>
      <c r="D984" t="str">
        <f>IF($C984="","",IFERROR(INDEX(Orders!$B:$B,MATCH($C984,Orders!$A:$A,0)),""))</f>
        <v/>
      </c>
      <c r="E984" t="str">
        <f>IF($C984="","",IFERROR(INDEX(Orders!$D:$D,MATCH($C984,Orders!$A:$A,0)),""))</f>
        <v/>
      </c>
      <c r="H984" s="5"/>
      <c r="I984" s="5"/>
      <c r="J984" s="5"/>
      <c r="K984" s="5"/>
      <c r="L984" s="5" t="str">
        <f t="shared" si="15"/>
        <v/>
      </c>
    </row>
    <row r="985" spans="1:12">
      <c r="A985" s="4"/>
      <c r="D985" t="str">
        <f>IF($C985="","",IFERROR(INDEX(Orders!$B:$B,MATCH($C985,Orders!$A:$A,0)),""))</f>
        <v/>
      </c>
      <c r="E985" t="str">
        <f>IF($C985="","",IFERROR(INDEX(Orders!$D:$D,MATCH($C985,Orders!$A:$A,0)),""))</f>
        <v/>
      </c>
      <c r="H985" s="5"/>
      <c r="I985" s="5"/>
      <c r="J985" s="5"/>
      <c r="K985" s="5"/>
      <c r="L985" s="5" t="str">
        <f t="shared" si="15"/>
        <v/>
      </c>
    </row>
    <row r="986" spans="1:12">
      <c r="A986" s="4"/>
      <c r="D986" t="str">
        <f>IF($C986="","",IFERROR(INDEX(Orders!$B:$B,MATCH($C986,Orders!$A:$A,0)),""))</f>
        <v/>
      </c>
      <c r="E986" t="str">
        <f>IF($C986="","",IFERROR(INDEX(Orders!$D:$D,MATCH($C986,Orders!$A:$A,0)),""))</f>
        <v/>
      </c>
      <c r="H986" s="5"/>
      <c r="I986" s="5"/>
      <c r="J986" s="5"/>
      <c r="K986" s="5"/>
      <c r="L986" s="5" t="str">
        <f t="shared" si="15"/>
        <v/>
      </c>
    </row>
    <row r="987" spans="1:12">
      <c r="A987" s="4"/>
      <c r="D987" t="str">
        <f>IF($C987="","",IFERROR(INDEX(Orders!$B:$B,MATCH($C987,Orders!$A:$A,0)),""))</f>
        <v/>
      </c>
      <c r="E987" t="str">
        <f>IF($C987="","",IFERROR(INDEX(Orders!$D:$D,MATCH($C987,Orders!$A:$A,0)),""))</f>
        <v/>
      </c>
      <c r="H987" s="5"/>
      <c r="I987" s="5"/>
      <c r="J987" s="5"/>
      <c r="K987" s="5"/>
      <c r="L987" s="5" t="str">
        <f t="shared" si="15"/>
        <v/>
      </c>
    </row>
    <row r="988" spans="1:12">
      <c r="A988" s="4"/>
      <c r="D988" t="str">
        <f>IF($C988="","",IFERROR(INDEX(Orders!$B:$B,MATCH($C988,Orders!$A:$A,0)),""))</f>
        <v/>
      </c>
      <c r="E988" t="str">
        <f>IF($C988="","",IFERROR(INDEX(Orders!$D:$D,MATCH($C988,Orders!$A:$A,0)),""))</f>
        <v/>
      </c>
      <c r="H988" s="5"/>
      <c r="I988" s="5"/>
      <c r="J988" s="5"/>
      <c r="K988" s="5"/>
      <c r="L988" s="5" t="str">
        <f t="shared" si="15"/>
        <v/>
      </c>
    </row>
    <row r="989" spans="1:12">
      <c r="A989" s="4"/>
      <c r="D989" t="str">
        <f>IF($C989="","",IFERROR(INDEX(Orders!$B:$B,MATCH($C989,Orders!$A:$A,0)),""))</f>
        <v/>
      </c>
      <c r="E989" t="str">
        <f>IF($C989="","",IFERROR(INDEX(Orders!$D:$D,MATCH($C989,Orders!$A:$A,0)),""))</f>
        <v/>
      </c>
      <c r="H989" s="5"/>
      <c r="I989" s="5"/>
      <c r="J989" s="5"/>
      <c r="K989" s="5"/>
      <c r="L989" s="5" t="str">
        <f t="shared" si="15"/>
        <v/>
      </c>
    </row>
    <row r="990" spans="1:12">
      <c r="A990" s="4"/>
      <c r="D990" t="str">
        <f>IF($C990="","",IFERROR(INDEX(Orders!$B:$B,MATCH($C990,Orders!$A:$A,0)),""))</f>
        <v/>
      </c>
      <c r="E990" t="str">
        <f>IF($C990="","",IFERROR(INDEX(Orders!$D:$D,MATCH($C990,Orders!$A:$A,0)),""))</f>
        <v/>
      </c>
      <c r="H990" s="5"/>
      <c r="I990" s="5"/>
      <c r="J990" s="5"/>
      <c r="K990" s="5"/>
      <c r="L990" s="5" t="str">
        <f t="shared" si="15"/>
        <v/>
      </c>
    </row>
    <row r="991" spans="1:12">
      <c r="A991" s="4"/>
      <c r="D991" t="str">
        <f>IF($C991="","",IFERROR(INDEX(Orders!$B:$B,MATCH($C991,Orders!$A:$A,0)),""))</f>
        <v/>
      </c>
      <c r="E991" t="str">
        <f>IF($C991="","",IFERROR(INDEX(Orders!$D:$D,MATCH($C991,Orders!$A:$A,0)),""))</f>
        <v/>
      </c>
      <c r="H991" s="5"/>
      <c r="I991" s="5"/>
      <c r="J991" s="5"/>
      <c r="K991" s="5"/>
      <c r="L991" s="5" t="str">
        <f t="shared" si="15"/>
        <v/>
      </c>
    </row>
    <row r="992" spans="1:12">
      <c r="A992" s="4"/>
      <c r="D992" t="str">
        <f>IF($C992="","",IFERROR(INDEX(Orders!$B:$B,MATCH($C992,Orders!$A:$A,0)),""))</f>
        <v/>
      </c>
      <c r="E992" t="str">
        <f>IF($C992="","",IFERROR(INDEX(Orders!$D:$D,MATCH($C992,Orders!$A:$A,0)),""))</f>
        <v/>
      </c>
      <c r="H992" s="5"/>
      <c r="I992" s="5"/>
      <c r="J992" s="5"/>
      <c r="K992" s="5"/>
      <c r="L992" s="5" t="str">
        <f t="shared" si="15"/>
        <v/>
      </c>
    </row>
    <row r="993" spans="1:12">
      <c r="A993" s="4"/>
      <c r="D993" t="str">
        <f>IF($C993="","",IFERROR(INDEX(Orders!$B:$B,MATCH($C993,Orders!$A:$A,0)),""))</f>
        <v/>
      </c>
      <c r="E993" t="str">
        <f>IF($C993="","",IFERROR(INDEX(Orders!$D:$D,MATCH($C993,Orders!$A:$A,0)),""))</f>
        <v/>
      </c>
      <c r="H993" s="5"/>
      <c r="I993" s="5"/>
      <c r="J993" s="5"/>
      <c r="K993" s="5"/>
      <c r="L993" s="5" t="str">
        <f t="shared" si="15"/>
        <v/>
      </c>
    </row>
    <row r="994" spans="1:12">
      <c r="A994" s="4"/>
      <c r="D994" t="str">
        <f>IF($C994="","",IFERROR(INDEX(Orders!$B:$B,MATCH($C994,Orders!$A:$A,0)),""))</f>
        <v/>
      </c>
      <c r="E994" t="str">
        <f>IF($C994="","",IFERROR(INDEX(Orders!$D:$D,MATCH($C994,Orders!$A:$A,0)),""))</f>
        <v/>
      </c>
      <c r="H994" s="5"/>
      <c r="I994" s="5"/>
      <c r="J994" s="5"/>
      <c r="K994" s="5"/>
      <c r="L994" s="5" t="str">
        <f t="shared" si="15"/>
        <v/>
      </c>
    </row>
    <row r="995" spans="1:12">
      <c r="A995" s="4"/>
      <c r="D995" t="str">
        <f>IF($C995="","",IFERROR(INDEX(Orders!$B:$B,MATCH($C995,Orders!$A:$A,0)),""))</f>
        <v/>
      </c>
      <c r="E995" t="str">
        <f>IF($C995="","",IFERROR(INDEX(Orders!$D:$D,MATCH($C995,Orders!$A:$A,0)),""))</f>
        <v/>
      </c>
      <c r="H995" s="5"/>
      <c r="I995" s="5"/>
      <c r="J995" s="5"/>
      <c r="K995" s="5"/>
      <c r="L995" s="5" t="str">
        <f t="shared" si="15"/>
        <v/>
      </c>
    </row>
    <row r="996" spans="1:12">
      <c r="A996" s="4"/>
      <c r="D996" t="str">
        <f>IF($C996="","",IFERROR(INDEX(Orders!$B:$B,MATCH($C996,Orders!$A:$A,0)),""))</f>
        <v/>
      </c>
      <c r="E996" t="str">
        <f>IF($C996="","",IFERROR(INDEX(Orders!$D:$D,MATCH($C996,Orders!$A:$A,0)),""))</f>
        <v/>
      </c>
      <c r="H996" s="5"/>
      <c r="I996" s="5"/>
      <c r="J996" s="5"/>
      <c r="K996" s="5"/>
      <c r="L996" s="5" t="str">
        <f t="shared" si="15"/>
        <v/>
      </c>
    </row>
    <row r="997" spans="1:12">
      <c r="A997" s="4"/>
      <c r="D997" t="str">
        <f>IF($C997="","",IFERROR(INDEX(Orders!$B:$B,MATCH($C997,Orders!$A:$A,0)),""))</f>
        <v/>
      </c>
      <c r="E997" t="str">
        <f>IF($C997="","",IFERROR(INDEX(Orders!$D:$D,MATCH($C997,Orders!$A:$A,0)),""))</f>
        <v/>
      </c>
      <c r="H997" s="5"/>
      <c r="I997" s="5"/>
      <c r="J997" s="5"/>
      <c r="K997" s="5"/>
      <c r="L997" s="5" t="str">
        <f t="shared" si="15"/>
        <v/>
      </c>
    </row>
    <row r="998" spans="1:12">
      <c r="A998" s="4"/>
      <c r="D998" t="str">
        <f>IF($C998="","",IFERROR(INDEX(Orders!$B:$B,MATCH($C998,Orders!$A:$A,0)),""))</f>
        <v/>
      </c>
      <c r="E998" t="str">
        <f>IF($C998="","",IFERROR(INDEX(Orders!$D:$D,MATCH($C998,Orders!$A:$A,0)),""))</f>
        <v/>
      </c>
      <c r="H998" s="5"/>
      <c r="I998" s="5"/>
      <c r="J998" s="5"/>
      <c r="K998" s="5"/>
      <c r="L998" s="5" t="str">
        <f t="shared" si="15"/>
        <v/>
      </c>
    </row>
    <row r="999" spans="1:12">
      <c r="A999" s="4"/>
      <c r="D999" t="str">
        <f>IF($C999="","",IFERROR(INDEX(Orders!$B:$B,MATCH($C999,Orders!$A:$A,0)),""))</f>
        <v/>
      </c>
      <c r="E999" t="str">
        <f>IF($C999="","",IFERROR(INDEX(Orders!$D:$D,MATCH($C999,Orders!$A:$A,0)),""))</f>
        <v/>
      </c>
      <c r="H999" s="5"/>
      <c r="I999" s="5"/>
      <c r="J999" s="5"/>
      <c r="K999" s="5"/>
      <c r="L999" s="5" t="str">
        <f t="shared" si="15"/>
        <v/>
      </c>
    </row>
    <row r="1000" spans="1:12">
      <c r="A1000" s="4"/>
      <c r="D1000" t="str">
        <f>IF($C1000="","",IFERROR(INDEX(Orders!$B:$B,MATCH($C1000,Orders!$A:$A,0)),""))</f>
        <v/>
      </c>
      <c r="E1000" t="str">
        <f>IF($C1000="","",IFERROR(INDEX(Orders!$D:$D,MATCH($C1000,Orders!$A:$A,0)),""))</f>
        <v/>
      </c>
      <c r="H1000" s="5"/>
      <c r="I1000" s="5"/>
      <c r="J1000" s="5"/>
      <c r="K1000" s="5"/>
      <c r="L1000" s="5" t="str">
        <f t="shared" si="15"/>
        <v/>
      </c>
    </row>
  </sheetData>
  <conditionalFormatting sqref="G2:G1000">
    <cfRule type="expression" dxfId="5" priority="3">
      <formula>G2="IN"</formula>
    </cfRule>
    <cfRule type="expression" dxfId="4" priority="4">
      <formula>G2="OUT"</formula>
    </cfRule>
  </conditionalFormatting>
  <conditionalFormatting sqref="J2:J1000">
    <cfRule type="expression" dxfId="3" priority="1">
      <formula>J2&gt;0</formula>
    </cfRule>
  </conditionalFormatting>
  <conditionalFormatting sqref="K2:K1000">
    <cfRule type="expression" dxfId="2" priority="2">
      <formula>K2&gt;0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Lists!$A$2:$A$14</xm:f>
          </x14:formula1>
          <xm:sqref>F2:F1000</xm:sqref>
        </x14:dataValidation>
        <x14:dataValidation type="list" xr:uid="{00000000-0002-0000-0200-000001000000}">
          <x14:formula1>
            <xm:f>Lists!$B$2:$B$7</xm:f>
          </x14:formula1>
          <xm:sqref>G2:G1000</xm:sqref>
        </x14:dataValidation>
        <x14:dataValidation type="list" xr:uid="{00000000-0002-0000-0200-000002000000}">
          <x14:formula1>
            <xm:f>Lists!$C$2:$C$7</xm:f>
          </x14:formula1>
          <xm:sqref>M2:M1000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workbookViewId="0">
      <selection sqref="A1:H1"/>
    </sheetView>
  </sheetViews>
  <sheetFormatPr defaultColWidth="8.875" defaultRowHeight="14.1"/>
  <cols>
    <col min="1" max="1" width="34" customWidth="1"/>
    <col min="2" max="6" width="12" customWidth="1"/>
    <col min="7" max="7" width="14" customWidth="1"/>
    <col min="8" max="8" width="30" customWidth="1"/>
  </cols>
  <sheetData>
    <row r="1" spans="1:8" ht="37.35" customHeight="1">
      <c r="A1" s="8" t="s">
        <v>79</v>
      </c>
      <c r="B1" s="9"/>
      <c r="C1" s="9"/>
      <c r="D1" s="9"/>
      <c r="E1" s="9"/>
      <c r="F1" s="9"/>
      <c r="G1" s="9"/>
      <c r="H1" s="9"/>
    </row>
    <row r="3" spans="1:8" ht="15.95">
      <c r="A3" s="1" t="s">
        <v>13</v>
      </c>
      <c r="B3" s="1" t="s">
        <v>14</v>
      </c>
      <c r="C3" s="1" t="s">
        <v>15</v>
      </c>
      <c r="D3" s="1" t="s">
        <v>7</v>
      </c>
      <c r="E3" s="1" t="s">
        <v>8</v>
      </c>
      <c r="F3" s="1" t="s">
        <v>6</v>
      </c>
      <c r="G3" s="1" t="s">
        <v>80</v>
      </c>
      <c r="H3" s="1" t="s">
        <v>24</v>
      </c>
    </row>
    <row r="4" spans="1:8">
      <c r="A4" t="s">
        <v>81</v>
      </c>
      <c r="B4" s="5">
        <f>SUMIFS(WIPLog!$H:$H,WIPLog!$F:$F,$A4)</f>
        <v>0</v>
      </c>
      <c r="C4" s="5">
        <f>SUMIFS(WIPLog!$I:$I,WIPLog!$F:$F,$A4)</f>
        <v>0</v>
      </c>
      <c r="D4" s="5">
        <f>SUMIFS(WIPLog!$J:$J,WIPLog!$F:$F,$A4)</f>
        <v>0</v>
      </c>
      <c r="E4" s="5">
        <f>SUMIFS(WIPLog!$K:$K,WIPLog!$F:$F,$A4)</f>
        <v>0</v>
      </c>
      <c r="F4" s="5">
        <f t="shared" ref="F4:F16" si="0">MAX(0,$B4-$C4-$E4)</f>
        <v>0</v>
      </c>
      <c r="G4" s="6">
        <f t="shared" ref="G4:G16" si="1">IF(SUM($F$4:$F$16)=0,0,$F4/SUM($F$4:$F$16))</f>
        <v>0</v>
      </c>
    </row>
    <row r="5" spans="1:8">
      <c r="A5" t="s">
        <v>82</v>
      </c>
      <c r="B5" s="5">
        <f>SUMIFS(WIPLog!$H:$H,WIPLog!$F:$F,$A5)</f>
        <v>0</v>
      </c>
      <c r="C5" s="5">
        <f>SUMIFS(WIPLog!$I:$I,WIPLog!$F:$F,$A5)</f>
        <v>0</v>
      </c>
      <c r="D5" s="5">
        <f>SUMIFS(WIPLog!$J:$J,WIPLog!$F:$F,$A5)</f>
        <v>0</v>
      </c>
      <c r="E5" s="5">
        <f>SUMIFS(WIPLog!$K:$K,WIPLog!$F:$F,$A5)</f>
        <v>0</v>
      </c>
      <c r="F5" s="5">
        <f t="shared" si="0"/>
        <v>0</v>
      </c>
      <c r="G5" s="6">
        <f t="shared" si="1"/>
        <v>0</v>
      </c>
    </row>
    <row r="6" spans="1:8">
      <c r="A6" t="s">
        <v>83</v>
      </c>
      <c r="B6" s="5">
        <f>SUMIFS(WIPLog!$H:$H,WIPLog!$F:$F,$A6)</f>
        <v>0</v>
      </c>
      <c r="C6" s="5">
        <f>SUMIFS(WIPLog!$I:$I,WIPLog!$F:$F,$A6)</f>
        <v>0</v>
      </c>
      <c r="D6" s="5">
        <f>SUMIFS(WIPLog!$J:$J,WIPLog!$F:$F,$A6)</f>
        <v>0</v>
      </c>
      <c r="E6" s="5">
        <f>SUMIFS(WIPLog!$K:$K,WIPLog!$F:$F,$A6)</f>
        <v>0</v>
      </c>
      <c r="F6" s="5">
        <f t="shared" si="0"/>
        <v>0</v>
      </c>
      <c r="G6" s="6">
        <f t="shared" si="1"/>
        <v>0</v>
      </c>
    </row>
    <row r="7" spans="1:8">
      <c r="A7" t="s">
        <v>84</v>
      </c>
      <c r="B7" s="5">
        <f>SUMIFS(WIPLog!$H:$H,WIPLog!$F:$F,$A7)</f>
        <v>0</v>
      </c>
      <c r="C7" s="5">
        <f>SUMIFS(WIPLog!$I:$I,WIPLog!$F:$F,$A7)</f>
        <v>0</v>
      </c>
      <c r="D7" s="5">
        <f>SUMIFS(WIPLog!$J:$J,WIPLog!$F:$F,$A7)</f>
        <v>0</v>
      </c>
      <c r="E7" s="5">
        <f>SUMIFS(WIPLog!$K:$K,WIPLog!$F:$F,$A7)</f>
        <v>0</v>
      </c>
      <c r="F7" s="5">
        <f t="shared" si="0"/>
        <v>0</v>
      </c>
      <c r="G7" s="6">
        <f t="shared" si="1"/>
        <v>0</v>
      </c>
    </row>
    <row r="8" spans="1:8">
      <c r="A8" t="s">
        <v>85</v>
      </c>
      <c r="B8" s="5">
        <f>SUMIFS(WIPLog!$H:$H,WIPLog!$F:$F,$A8)</f>
        <v>0</v>
      </c>
      <c r="C8" s="5">
        <f>SUMIFS(WIPLog!$I:$I,WIPLog!$F:$F,$A8)</f>
        <v>0</v>
      </c>
      <c r="D8" s="5">
        <f>SUMIFS(WIPLog!$J:$J,WIPLog!$F:$F,$A8)</f>
        <v>0</v>
      </c>
      <c r="E8" s="5">
        <f>SUMIFS(WIPLog!$K:$K,WIPLog!$F:$F,$A8)</f>
        <v>0</v>
      </c>
      <c r="F8" s="5">
        <f t="shared" si="0"/>
        <v>0</v>
      </c>
      <c r="G8" s="6">
        <f t="shared" si="1"/>
        <v>0</v>
      </c>
    </row>
    <row r="9" spans="1:8">
      <c r="A9" t="s">
        <v>86</v>
      </c>
      <c r="B9" s="5">
        <f>SUMIFS(WIPLog!$H:$H,WIPLog!$F:$F,$A9)</f>
        <v>0</v>
      </c>
      <c r="C9" s="5">
        <f>SUMIFS(WIPLog!$I:$I,WIPLog!$F:$F,$A9)</f>
        <v>0</v>
      </c>
      <c r="D9" s="5">
        <f>SUMIFS(WIPLog!$J:$J,WIPLog!$F:$F,$A9)</f>
        <v>0</v>
      </c>
      <c r="E9" s="5">
        <f>SUMIFS(WIPLog!$K:$K,WIPLog!$F:$F,$A9)</f>
        <v>0</v>
      </c>
      <c r="F9" s="5">
        <f t="shared" si="0"/>
        <v>0</v>
      </c>
      <c r="G9" s="6">
        <f t="shared" si="1"/>
        <v>0</v>
      </c>
    </row>
    <row r="10" spans="1:8">
      <c r="A10" t="s">
        <v>87</v>
      </c>
      <c r="B10" s="5">
        <f>SUMIFS(WIPLog!$H:$H,WIPLog!$F:$F,$A10)</f>
        <v>0</v>
      </c>
      <c r="C10" s="5">
        <f>SUMIFS(WIPLog!$I:$I,WIPLog!$F:$F,$A10)</f>
        <v>0</v>
      </c>
      <c r="D10" s="5">
        <f>SUMIFS(WIPLog!$J:$J,WIPLog!$F:$F,$A10)</f>
        <v>0</v>
      </c>
      <c r="E10" s="5">
        <f>SUMIFS(WIPLog!$K:$K,WIPLog!$F:$F,$A10)</f>
        <v>0</v>
      </c>
      <c r="F10" s="5">
        <f t="shared" si="0"/>
        <v>0</v>
      </c>
      <c r="G10" s="6">
        <f t="shared" si="1"/>
        <v>0</v>
      </c>
    </row>
    <row r="11" spans="1:8">
      <c r="A11" t="s">
        <v>88</v>
      </c>
      <c r="B11" s="5">
        <f>SUMIFS(WIPLog!$H:$H,WIPLog!$F:$F,$A11)</f>
        <v>0</v>
      </c>
      <c r="C11" s="5">
        <f>SUMIFS(WIPLog!$I:$I,WIPLog!$F:$F,$A11)</f>
        <v>0</v>
      </c>
      <c r="D11" s="5">
        <f>SUMIFS(WIPLog!$J:$J,WIPLog!$F:$F,$A11)</f>
        <v>0</v>
      </c>
      <c r="E11" s="5">
        <f>SUMIFS(WIPLog!$K:$K,WIPLog!$F:$F,$A11)</f>
        <v>0</v>
      </c>
      <c r="F11" s="5">
        <f t="shared" si="0"/>
        <v>0</v>
      </c>
      <c r="G11" s="6">
        <f t="shared" si="1"/>
        <v>0</v>
      </c>
    </row>
    <row r="12" spans="1:8">
      <c r="A12" t="s">
        <v>89</v>
      </c>
      <c r="B12" s="5">
        <f>SUMIFS(WIPLog!$H:$H,WIPLog!$F:$F,$A12)</f>
        <v>0</v>
      </c>
      <c r="C12" s="5">
        <f>SUMIFS(WIPLog!$I:$I,WIPLog!$F:$F,$A12)</f>
        <v>0</v>
      </c>
      <c r="D12" s="5">
        <f>SUMIFS(WIPLog!$J:$J,WIPLog!$F:$F,$A12)</f>
        <v>0</v>
      </c>
      <c r="E12" s="5">
        <f>SUMIFS(WIPLog!$K:$K,WIPLog!$F:$F,$A12)</f>
        <v>0</v>
      </c>
      <c r="F12" s="5">
        <f t="shared" si="0"/>
        <v>0</v>
      </c>
      <c r="G12" s="6">
        <f t="shared" si="1"/>
        <v>0</v>
      </c>
    </row>
    <row r="13" spans="1:8">
      <c r="A13" t="s">
        <v>90</v>
      </c>
      <c r="B13" s="5">
        <f>SUMIFS(WIPLog!$H:$H,WIPLog!$F:$F,$A13)</f>
        <v>0</v>
      </c>
      <c r="C13" s="5">
        <f>SUMIFS(WIPLog!$I:$I,WIPLog!$F:$F,$A13)</f>
        <v>0</v>
      </c>
      <c r="D13" s="5">
        <f>SUMIFS(WIPLog!$J:$J,WIPLog!$F:$F,$A13)</f>
        <v>0</v>
      </c>
      <c r="E13" s="5">
        <f>SUMIFS(WIPLog!$K:$K,WIPLog!$F:$F,$A13)</f>
        <v>0</v>
      </c>
      <c r="F13" s="5">
        <f t="shared" si="0"/>
        <v>0</v>
      </c>
      <c r="G13" s="6">
        <f t="shared" si="1"/>
        <v>0</v>
      </c>
    </row>
    <row r="14" spans="1:8">
      <c r="A14" t="s">
        <v>91</v>
      </c>
      <c r="B14" s="5">
        <f>SUMIFS(WIPLog!$H:$H,WIPLog!$F:$F,$A14)</f>
        <v>0</v>
      </c>
      <c r="C14" s="5">
        <f>SUMIFS(WIPLog!$I:$I,WIPLog!$F:$F,$A14)</f>
        <v>0</v>
      </c>
      <c r="D14" s="5">
        <f>SUMIFS(WIPLog!$J:$J,WIPLog!$F:$F,$A14)</f>
        <v>0</v>
      </c>
      <c r="E14" s="5">
        <f>SUMIFS(WIPLog!$K:$K,WIPLog!$F:$F,$A14)</f>
        <v>0</v>
      </c>
      <c r="F14" s="5">
        <f t="shared" si="0"/>
        <v>0</v>
      </c>
      <c r="G14" s="6">
        <f t="shared" si="1"/>
        <v>0</v>
      </c>
    </row>
    <row r="15" spans="1:8">
      <c r="A15" t="s">
        <v>92</v>
      </c>
      <c r="B15" s="5">
        <f>SUMIFS(WIPLog!$H:$H,WIPLog!$F:$F,$A15)</f>
        <v>0</v>
      </c>
      <c r="C15" s="5">
        <f>SUMIFS(WIPLog!$I:$I,WIPLog!$F:$F,$A15)</f>
        <v>0</v>
      </c>
      <c r="D15" s="5">
        <f>SUMIFS(WIPLog!$J:$J,WIPLog!$F:$F,$A15)</f>
        <v>0</v>
      </c>
      <c r="E15" s="5">
        <f>SUMIFS(WIPLog!$K:$K,WIPLog!$F:$F,$A15)</f>
        <v>0</v>
      </c>
      <c r="F15" s="5">
        <f t="shared" si="0"/>
        <v>0</v>
      </c>
      <c r="G15" s="6">
        <f t="shared" si="1"/>
        <v>0</v>
      </c>
    </row>
    <row r="16" spans="1:8">
      <c r="A16" t="s">
        <v>93</v>
      </c>
      <c r="B16" s="5">
        <f>SUMIFS(WIPLog!$H:$H,WIPLog!$F:$F,$A16)</f>
        <v>0</v>
      </c>
      <c r="C16" s="5">
        <f>SUMIFS(WIPLog!$I:$I,WIPLog!$F:$F,$A16)</f>
        <v>0</v>
      </c>
      <c r="D16" s="5">
        <f>SUMIFS(WIPLog!$J:$J,WIPLog!$F:$F,$A16)</f>
        <v>0</v>
      </c>
      <c r="E16" s="5">
        <f>SUMIFS(WIPLog!$K:$K,WIPLog!$F:$F,$A16)</f>
        <v>0</v>
      </c>
      <c r="F16" s="5">
        <f t="shared" si="0"/>
        <v>0</v>
      </c>
      <c r="G16" s="6">
        <f t="shared" si="1"/>
        <v>0</v>
      </c>
    </row>
    <row r="20" spans="1:8">
      <c r="A20" s="10" t="s">
        <v>94</v>
      </c>
      <c r="B20" s="13"/>
      <c r="C20" s="13"/>
      <c r="D20" s="13"/>
      <c r="E20" s="13"/>
      <c r="F20" s="13"/>
      <c r="G20" s="13"/>
      <c r="H20" s="13"/>
    </row>
    <row r="21" spans="1:8" ht="32.1">
      <c r="A21" s="1" t="s">
        <v>53</v>
      </c>
      <c r="B21" s="1" t="s">
        <v>54</v>
      </c>
      <c r="C21" s="1" t="s">
        <v>56</v>
      </c>
      <c r="D21" s="1" t="s">
        <v>59</v>
      </c>
      <c r="E21" s="1" t="s">
        <v>63</v>
      </c>
      <c r="F21" s="1" t="s">
        <v>5</v>
      </c>
      <c r="G21" s="1" t="s">
        <v>66</v>
      </c>
      <c r="H21" s="1" t="s">
        <v>67</v>
      </c>
    </row>
    <row r="22" spans="1:8">
      <c r="A22" t="str">
        <f>IF(Orders!$A2="","",Orders!$A2)</f>
        <v/>
      </c>
      <c r="B22" t="str">
        <f>IF(Orders!$A2="","",Orders!$B2)</f>
        <v/>
      </c>
      <c r="C22" t="str">
        <f>IF(Orders!$A2="","",Orders!$D2)</f>
        <v/>
      </c>
      <c r="D22" s="5" t="str">
        <f>IF(Orders!$A2="","",Orders!$G2)</f>
        <v/>
      </c>
      <c r="E22" s="5" t="str">
        <f>IF(Orders!$A2="","",Orders!$K2)</f>
        <v/>
      </c>
      <c r="F22" s="5" t="str">
        <f>IF(Orders!$A2="","",Orders!$O2)</f>
        <v/>
      </c>
      <c r="G22" s="5" t="str">
        <f>IF(Orders!$A2="","",Orders!$P2)</f>
        <v/>
      </c>
      <c r="H22" t="str">
        <f>IF(Orders!$A2="","",Orders!$Q2)</f>
        <v/>
      </c>
    </row>
    <row r="23" spans="1:8">
      <c r="A23" t="str">
        <f>IF(Orders!$A3="","",Orders!$A3)</f>
        <v/>
      </c>
      <c r="B23" t="str">
        <f>IF(Orders!$A3="","",Orders!$B3)</f>
        <v/>
      </c>
      <c r="C23" t="str">
        <f>IF(Orders!$A3="","",Orders!$D3)</f>
        <v/>
      </c>
      <c r="D23" s="5" t="str">
        <f>IF(Orders!$A3="","",Orders!$G3)</f>
        <v/>
      </c>
      <c r="E23" s="5" t="str">
        <f>IF(Orders!$A3="","",Orders!$K3)</f>
        <v/>
      </c>
      <c r="F23" s="5" t="str">
        <f>IF(Orders!$A3="","",Orders!$O3)</f>
        <v/>
      </c>
      <c r="G23" s="5" t="str">
        <f>IF(Orders!$A3="","",Orders!$P3)</f>
        <v/>
      </c>
      <c r="H23" t="str">
        <f>IF(Orders!$A3="","",Orders!$Q3)</f>
        <v/>
      </c>
    </row>
    <row r="24" spans="1:8">
      <c r="A24" t="str">
        <f>IF(Orders!$A4="","",Orders!$A4)</f>
        <v/>
      </c>
      <c r="B24" t="str">
        <f>IF(Orders!$A4="","",Orders!$B4)</f>
        <v/>
      </c>
      <c r="C24" t="str">
        <f>IF(Orders!$A4="","",Orders!$D4)</f>
        <v/>
      </c>
      <c r="D24" s="5" t="str">
        <f>IF(Orders!$A4="","",Orders!$G4)</f>
        <v/>
      </c>
      <c r="E24" s="5" t="str">
        <f>IF(Orders!$A4="","",Orders!$K4)</f>
        <v/>
      </c>
      <c r="F24" s="5" t="str">
        <f>IF(Orders!$A4="","",Orders!$O4)</f>
        <v/>
      </c>
      <c r="G24" s="5" t="str">
        <f>IF(Orders!$A4="","",Orders!$P4)</f>
        <v/>
      </c>
      <c r="H24" t="str">
        <f>IF(Orders!$A4="","",Orders!$Q4)</f>
        <v/>
      </c>
    </row>
    <row r="25" spans="1:8">
      <c r="A25" t="str">
        <f>IF(Orders!$A5="","",Orders!$A5)</f>
        <v/>
      </c>
      <c r="B25" t="str">
        <f>IF(Orders!$A5="","",Orders!$B5)</f>
        <v/>
      </c>
      <c r="C25" t="str">
        <f>IF(Orders!$A5="","",Orders!$D5)</f>
        <v/>
      </c>
      <c r="D25" s="5" t="str">
        <f>IF(Orders!$A5="","",Orders!$G5)</f>
        <v/>
      </c>
      <c r="E25" s="5" t="str">
        <f>IF(Orders!$A5="","",Orders!$K5)</f>
        <v/>
      </c>
      <c r="F25" s="5" t="str">
        <f>IF(Orders!$A5="","",Orders!$O5)</f>
        <v/>
      </c>
      <c r="G25" s="5" t="str">
        <f>IF(Orders!$A5="","",Orders!$P5)</f>
        <v/>
      </c>
      <c r="H25" t="str">
        <f>IF(Orders!$A5="","",Orders!$Q5)</f>
        <v/>
      </c>
    </row>
    <row r="26" spans="1:8">
      <c r="A26" t="str">
        <f>IF(Orders!$A6="","",Orders!$A6)</f>
        <v/>
      </c>
      <c r="B26" t="str">
        <f>IF(Orders!$A6="","",Orders!$B6)</f>
        <v/>
      </c>
      <c r="C26" t="str">
        <f>IF(Orders!$A6="","",Orders!$D6)</f>
        <v/>
      </c>
      <c r="D26" s="5" t="str">
        <f>IF(Orders!$A6="","",Orders!$G6)</f>
        <v/>
      </c>
      <c r="E26" s="5" t="str">
        <f>IF(Orders!$A6="","",Orders!$K6)</f>
        <v/>
      </c>
      <c r="F26" s="5" t="str">
        <f>IF(Orders!$A6="","",Orders!$O6)</f>
        <v/>
      </c>
      <c r="G26" s="5" t="str">
        <f>IF(Orders!$A6="","",Orders!$P6)</f>
        <v/>
      </c>
      <c r="H26" t="str">
        <f>IF(Orders!$A6="","",Orders!$Q6)</f>
        <v/>
      </c>
    </row>
    <row r="27" spans="1:8">
      <c r="A27" t="str">
        <f>IF(Orders!$A7="","",Orders!$A7)</f>
        <v/>
      </c>
      <c r="B27" t="str">
        <f>IF(Orders!$A7="","",Orders!$B7)</f>
        <v/>
      </c>
      <c r="C27" t="str">
        <f>IF(Orders!$A7="","",Orders!$D7)</f>
        <v/>
      </c>
      <c r="D27" s="5" t="str">
        <f>IF(Orders!$A7="","",Orders!$G7)</f>
        <v/>
      </c>
      <c r="E27" s="5" t="str">
        <f>IF(Orders!$A7="","",Orders!$K7)</f>
        <v/>
      </c>
      <c r="F27" s="5" t="str">
        <f>IF(Orders!$A7="","",Orders!$O7)</f>
        <v/>
      </c>
      <c r="G27" s="5" t="str">
        <f>IF(Orders!$A7="","",Orders!$P7)</f>
        <v/>
      </c>
      <c r="H27" t="str">
        <f>IF(Orders!$A7="","",Orders!$Q7)</f>
        <v/>
      </c>
    </row>
    <row r="28" spans="1:8">
      <c r="A28" t="str">
        <f>IF(Orders!$A8="","",Orders!$A8)</f>
        <v/>
      </c>
      <c r="B28" t="str">
        <f>IF(Orders!$A8="","",Orders!$B8)</f>
        <v/>
      </c>
      <c r="C28" t="str">
        <f>IF(Orders!$A8="","",Orders!$D8)</f>
        <v/>
      </c>
      <c r="D28" s="5" t="str">
        <f>IF(Orders!$A8="","",Orders!$G8)</f>
        <v/>
      </c>
      <c r="E28" s="5" t="str">
        <f>IF(Orders!$A8="","",Orders!$K8)</f>
        <v/>
      </c>
      <c r="F28" s="5" t="str">
        <f>IF(Orders!$A8="","",Orders!$O8)</f>
        <v/>
      </c>
      <c r="G28" s="5" t="str">
        <f>IF(Orders!$A8="","",Orders!$P8)</f>
        <v/>
      </c>
      <c r="H28" t="str">
        <f>IF(Orders!$A8="","",Orders!$Q8)</f>
        <v/>
      </c>
    </row>
    <row r="29" spans="1:8">
      <c r="A29" t="str">
        <f>IF(Orders!$A9="","",Orders!$A9)</f>
        <v/>
      </c>
      <c r="B29" t="str">
        <f>IF(Orders!$A9="","",Orders!$B9)</f>
        <v/>
      </c>
      <c r="C29" t="str">
        <f>IF(Orders!$A9="","",Orders!$D9)</f>
        <v/>
      </c>
      <c r="D29" s="5" t="str">
        <f>IF(Orders!$A9="","",Orders!$G9)</f>
        <v/>
      </c>
      <c r="E29" s="5" t="str">
        <f>IF(Orders!$A9="","",Orders!$K9)</f>
        <v/>
      </c>
      <c r="F29" s="5" t="str">
        <f>IF(Orders!$A9="","",Orders!$O9)</f>
        <v/>
      </c>
      <c r="G29" s="5" t="str">
        <f>IF(Orders!$A9="","",Orders!$P9)</f>
        <v/>
      </c>
      <c r="H29" t="str">
        <f>IF(Orders!$A9="","",Orders!$Q9)</f>
        <v/>
      </c>
    </row>
    <row r="30" spans="1:8">
      <c r="A30" t="str">
        <f>IF(Orders!$A10="","",Orders!$A10)</f>
        <v/>
      </c>
      <c r="B30" t="str">
        <f>IF(Orders!$A10="","",Orders!$B10)</f>
        <v/>
      </c>
      <c r="C30" t="str">
        <f>IF(Orders!$A10="","",Orders!$D10)</f>
        <v/>
      </c>
      <c r="D30" s="5" t="str">
        <f>IF(Orders!$A10="","",Orders!$G10)</f>
        <v/>
      </c>
      <c r="E30" s="5" t="str">
        <f>IF(Orders!$A10="","",Orders!$K10)</f>
        <v/>
      </c>
      <c r="F30" s="5" t="str">
        <f>IF(Orders!$A10="","",Orders!$O10)</f>
        <v/>
      </c>
      <c r="G30" s="5" t="str">
        <f>IF(Orders!$A10="","",Orders!$P10)</f>
        <v/>
      </c>
      <c r="H30" t="str">
        <f>IF(Orders!$A10="","",Orders!$Q10)</f>
        <v/>
      </c>
    </row>
    <row r="31" spans="1:8">
      <c r="A31" t="str">
        <f>IF(Orders!$A11="","",Orders!$A11)</f>
        <v/>
      </c>
      <c r="B31" t="str">
        <f>IF(Orders!$A11="","",Orders!$B11)</f>
        <v/>
      </c>
      <c r="C31" t="str">
        <f>IF(Orders!$A11="","",Orders!$D11)</f>
        <v/>
      </c>
      <c r="D31" s="5" t="str">
        <f>IF(Orders!$A11="","",Orders!$G11)</f>
        <v/>
      </c>
      <c r="E31" s="5" t="str">
        <f>IF(Orders!$A11="","",Orders!$K11)</f>
        <v/>
      </c>
      <c r="F31" s="5" t="str">
        <f>IF(Orders!$A11="","",Orders!$O11)</f>
        <v/>
      </c>
      <c r="G31" s="5" t="str">
        <f>IF(Orders!$A11="","",Orders!$P11)</f>
        <v/>
      </c>
      <c r="H31" t="str">
        <f>IF(Orders!$A11="","",Orders!$Q11)</f>
        <v/>
      </c>
    </row>
    <row r="32" spans="1:8">
      <c r="A32" t="str">
        <f>IF(Orders!$A12="","",Orders!$A12)</f>
        <v/>
      </c>
      <c r="B32" t="str">
        <f>IF(Orders!$A12="","",Orders!$B12)</f>
        <v/>
      </c>
      <c r="C32" t="str">
        <f>IF(Orders!$A12="","",Orders!$D12)</f>
        <v/>
      </c>
      <c r="D32" s="5" t="str">
        <f>IF(Orders!$A12="","",Orders!$G12)</f>
        <v/>
      </c>
      <c r="E32" s="5" t="str">
        <f>IF(Orders!$A12="","",Orders!$K12)</f>
        <v/>
      </c>
      <c r="F32" s="5" t="str">
        <f>IF(Orders!$A12="","",Orders!$O12)</f>
        <v/>
      </c>
      <c r="G32" s="5" t="str">
        <f>IF(Orders!$A12="","",Orders!$P12)</f>
        <v/>
      </c>
      <c r="H32" t="str">
        <f>IF(Orders!$A12="","",Orders!$Q12)</f>
        <v/>
      </c>
    </row>
    <row r="33" spans="1:8">
      <c r="A33" t="str">
        <f>IF(Orders!$A13="","",Orders!$A13)</f>
        <v/>
      </c>
      <c r="B33" t="str">
        <f>IF(Orders!$A13="","",Orders!$B13)</f>
        <v/>
      </c>
      <c r="C33" t="str">
        <f>IF(Orders!$A13="","",Orders!$D13)</f>
        <v/>
      </c>
      <c r="D33" s="5" t="str">
        <f>IF(Orders!$A13="","",Orders!$G13)</f>
        <v/>
      </c>
      <c r="E33" s="5" t="str">
        <f>IF(Orders!$A13="","",Orders!$K13)</f>
        <v/>
      </c>
      <c r="F33" s="5" t="str">
        <f>IF(Orders!$A13="","",Orders!$O13)</f>
        <v/>
      </c>
      <c r="G33" s="5" t="str">
        <f>IF(Orders!$A13="","",Orders!$P13)</f>
        <v/>
      </c>
      <c r="H33" t="str">
        <f>IF(Orders!$A13="","",Orders!$Q13)</f>
        <v/>
      </c>
    </row>
    <row r="34" spans="1:8">
      <c r="A34" t="str">
        <f>IF(Orders!$A14="","",Orders!$A14)</f>
        <v/>
      </c>
      <c r="B34" t="str">
        <f>IF(Orders!$A14="","",Orders!$B14)</f>
        <v/>
      </c>
      <c r="C34" t="str">
        <f>IF(Orders!$A14="","",Orders!$D14)</f>
        <v/>
      </c>
      <c r="D34" s="5" t="str">
        <f>IF(Orders!$A14="","",Orders!$G14)</f>
        <v/>
      </c>
      <c r="E34" s="5" t="str">
        <f>IF(Orders!$A14="","",Orders!$K14)</f>
        <v/>
      </c>
      <c r="F34" s="5" t="str">
        <f>IF(Orders!$A14="","",Orders!$O14)</f>
        <v/>
      </c>
      <c r="G34" s="5" t="str">
        <f>IF(Orders!$A14="","",Orders!$P14)</f>
        <v/>
      </c>
      <c r="H34" t="str">
        <f>IF(Orders!$A14="","",Orders!$Q14)</f>
        <v/>
      </c>
    </row>
    <row r="35" spans="1:8">
      <c r="A35" t="str">
        <f>IF(Orders!$A15="","",Orders!$A15)</f>
        <v/>
      </c>
      <c r="B35" t="str">
        <f>IF(Orders!$A15="","",Orders!$B15)</f>
        <v/>
      </c>
      <c r="C35" t="str">
        <f>IF(Orders!$A15="","",Orders!$D15)</f>
        <v/>
      </c>
      <c r="D35" s="5" t="str">
        <f>IF(Orders!$A15="","",Orders!$G15)</f>
        <v/>
      </c>
      <c r="E35" s="5" t="str">
        <f>IF(Orders!$A15="","",Orders!$K15)</f>
        <v/>
      </c>
      <c r="F35" s="5" t="str">
        <f>IF(Orders!$A15="","",Orders!$O15)</f>
        <v/>
      </c>
      <c r="G35" s="5" t="str">
        <f>IF(Orders!$A15="","",Orders!$P15)</f>
        <v/>
      </c>
      <c r="H35" t="str">
        <f>IF(Orders!$A15="","",Orders!$Q15)</f>
        <v/>
      </c>
    </row>
    <row r="36" spans="1:8">
      <c r="A36" t="str">
        <f>IF(Orders!$A16="","",Orders!$A16)</f>
        <v/>
      </c>
      <c r="B36" t="str">
        <f>IF(Orders!$A16="","",Orders!$B16)</f>
        <v/>
      </c>
      <c r="C36" t="str">
        <f>IF(Orders!$A16="","",Orders!$D16)</f>
        <v/>
      </c>
      <c r="D36" s="5" t="str">
        <f>IF(Orders!$A16="","",Orders!$G16)</f>
        <v/>
      </c>
      <c r="E36" s="5" t="str">
        <f>IF(Orders!$A16="","",Orders!$K16)</f>
        <v/>
      </c>
      <c r="F36" s="5" t="str">
        <f>IF(Orders!$A16="","",Orders!$O16)</f>
        <v/>
      </c>
      <c r="G36" s="5" t="str">
        <f>IF(Orders!$A16="","",Orders!$P16)</f>
        <v/>
      </c>
      <c r="H36" t="str">
        <f>IF(Orders!$A16="","",Orders!$Q16)</f>
        <v/>
      </c>
    </row>
    <row r="37" spans="1:8">
      <c r="A37" t="str">
        <f>IF(Orders!$A17="","",Orders!$A17)</f>
        <v/>
      </c>
      <c r="B37" t="str">
        <f>IF(Orders!$A17="","",Orders!$B17)</f>
        <v/>
      </c>
      <c r="C37" t="str">
        <f>IF(Orders!$A17="","",Orders!$D17)</f>
        <v/>
      </c>
      <c r="D37" s="5" t="str">
        <f>IF(Orders!$A17="","",Orders!$G17)</f>
        <v/>
      </c>
      <c r="E37" s="5" t="str">
        <f>IF(Orders!$A17="","",Orders!$K17)</f>
        <v/>
      </c>
      <c r="F37" s="5" t="str">
        <f>IF(Orders!$A17="","",Orders!$O17)</f>
        <v/>
      </c>
      <c r="G37" s="5" t="str">
        <f>IF(Orders!$A17="","",Orders!$P17)</f>
        <v/>
      </c>
      <c r="H37" t="str">
        <f>IF(Orders!$A17="","",Orders!$Q17)</f>
        <v/>
      </c>
    </row>
    <row r="38" spans="1:8">
      <c r="A38" t="str">
        <f>IF(Orders!$A18="","",Orders!$A18)</f>
        <v/>
      </c>
      <c r="B38" t="str">
        <f>IF(Orders!$A18="","",Orders!$B18)</f>
        <v/>
      </c>
      <c r="C38" t="str">
        <f>IF(Orders!$A18="","",Orders!$D18)</f>
        <v/>
      </c>
      <c r="D38" s="5" t="str">
        <f>IF(Orders!$A18="","",Orders!$G18)</f>
        <v/>
      </c>
      <c r="E38" s="5" t="str">
        <f>IF(Orders!$A18="","",Orders!$K18)</f>
        <v/>
      </c>
      <c r="F38" s="5" t="str">
        <f>IF(Orders!$A18="","",Orders!$O18)</f>
        <v/>
      </c>
      <c r="G38" s="5" t="str">
        <f>IF(Orders!$A18="","",Orders!$P18)</f>
        <v/>
      </c>
      <c r="H38" t="str">
        <f>IF(Orders!$A18="","",Orders!$Q18)</f>
        <v/>
      </c>
    </row>
    <row r="39" spans="1:8">
      <c r="A39" t="str">
        <f>IF(Orders!$A19="","",Orders!$A19)</f>
        <v/>
      </c>
      <c r="B39" t="str">
        <f>IF(Orders!$A19="","",Orders!$B19)</f>
        <v/>
      </c>
      <c r="C39" t="str">
        <f>IF(Orders!$A19="","",Orders!$D19)</f>
        <v/>
      </c>
      <c r="D39" s="5" t="str">
        <f>IF(Orders!$A19="","",Orders!$G19)</f>
        <v/>
      </c>
      <c r="E39" s="5" t="str">
        <f>IF(Orders!$A19="","",Orders!$K19)</f>
        <v/>
      </c>
      <c r="F39" s="5" t="str">
        <f>IF(Orders!$A19="","",Orders!$O19)</f>
        <v/>
      </c>
      <c r="G39" s="5" t="str">
        <f>IF(Orders!$A19="","",Orders!$P19)</f>
        <v/>
      </c>
      <c r="H39" t="str">
        <f>IF(Orders!$A19="","",Orders!$Q19)</f>
        <v/>
      </c>
    </row>
    <row r="40" spans="1:8">
      <c r="A40" t="str">
        <f>IF(Orders!$A20="","",Orders!$A20)</f>
        <v/>
      </c>
      <c r="B40" t="str">
        <f>IF(Orders!$A20="","",Orders!$B20)</f>
        <v/>
      </c>
      <c r="C40" t="str">
        <f>IF(Orders!$A20="","",Orders!$D20)</f>
        <v/>
      </c>
      <c r="D40" s="5" t="str">
        <f>IF(Orders!$A20="","",Orders!$G20)</f>
        <v/>
      </c>
      <c r="E40" s="5" t="str">
        <f>IF(Orders!$A20="","",Orders!$K20)</f>
        <v/>
      </c>
      <c r="F40" s="5" t="str">
        <f>IF(Orders!$A20="","",Orders!$O20)</f>
        <v/>
      </c>
      <c r="G40" s="5" t="str">
        <f>IF(Orders!$A20="","",Orders!$P20)</f>
        <v/>
      </c>
      <c r="H40" t="str">
        <f>IF(Orders!$A20="","",Orders!$Q20)</f>
        <v/>
      </c>
    </row>
    <row r="41" spans="1:8">
      <c r="A41" t="str">
        <f>IF(Orders!$A21="","",Orders!$A21)</f>
        <v/>
      </c>
      <c r="B41" t="str">
        <f>IF(Orders!$A21="","",Orders!$B21)</f>
        <v/>
      </c>
      <c r="C41" t="str">
        <f>IF(Orders!$A21="","",Orders!$D21)</f>
        <v/>
      </c>
      <c r="D41" s="5" t="str">
        <f>IF(Orders!$A21="","",Orders!$G21)</f>
        <v/>
      </c>
      <c r="E41" s="5" t="str">
        <f>IF(Orders!$A21="","",Orders!$K21)</f>
        <v/>
      </c>
      <c r="F41" s="5" t="str">
        <f>IF(Orders!$A21="","",Orders!$O21)</f>
        <v/>
      </c>
      <c r="G41" s="5" t="str">
        <f>IF(Orders!$A21="","",Orders!$P21)</f>
        <v/>
      </c>
      <c r="H41" t="str">
        <f>IF(Orders!$A21="","",Orders!$Q21)</f>
        <v/>
      </c>
    </row>
    <row r="42" spans="1:8">
      <c r="A42" t="str">
        <f>IF(Orders!$A22="","",Orders!$A22)</f>
        <v/>
      </c>
      <c r="B42" t="str">
        <f>IF(Orders!$A22="","",Orders!$B22)</f>
        <v/>
      </c>
      <c r="C42" t="str">
        <f>IF(Orders!$A22="","",Orders!$D22)</f>
        <v/>
      </c>
      <c r="D42" s="5" t="str">
        <f>IF(Orders!$A22="","",Orders!$G22)</f>
        <v/>
      </c>
      <c r="E42" s="5" t="str">
        <f>IF(Orders!$A22="","",Orders!$K22)</f>
        <v/>
      </c>
      <c r="F42" s="5" t="str">
        <f>IF(Orders!$A22="","",Orders!$O22)</f>
        <v/>
      </c>
      <c r="G42" s="5" t="str">
        <f>IF(Orders!$A22="","",Orders!$P22)</f>
        <v/>
      </c>
      <c r="H42" t="str">
        <f>IF(Orders!$A22="","",Orders!$Q22)</f>
        <v/>
      </c>
    </row>
    <row r="43" spans="1:8">
      <c r="A43" t="str">
        <f>IF(Orders!$A23="","",Orders!$A23)</f>
        <v/>
      </c>
      <c r="B43" t="str">
        <f>IF(Orders!$A23="","",Orders!$B23)</f>
        <v/>
      </c>
      <c r="C43" t="str">
        <f>IF(Orders!$A23="","",Orders!$D23)</f>
        <v/>
      </c>
      <c r="D43" s="5" t="str">
        <f>IF(Orders!$A23="","",Orders!$G23)</f>
        <v/>
      </c>
      <c r="E43" s="5" t="str">
        <f>IF(Orders!$A23="","",Orders!$K23)</f>
        <v/>
      </c>
      <c r="F43" s="5" t="str">
        <f>IF(Orders!$A23="","",Orders!$O23)</f>
        <v/>
      </c>
      <c r="G43" s="5" t="str">
        <f>IF(Orders!$A23="","",Orders!$P23)</f>
        <v/>
      </c>
      <c r="H43" t="str">
        <f>IF(Orders!$A23="","",Orders!$Q23)</f>
        <v/>
      </c>
    </row>
    <row r="44" spans="1:8">
      <c r="A44" t="str">
        <f>IF(Orders!$A24="","",Orders!$A24)</f>
        <v/>
      </c>
      <c r="B44" t="str">
        <f>IF(Orders!$A24="","",Orders!$B24)</f>
        <v/>
      </c>
      <c r="C44" t="str">
        <f>IF(Orders!$A24="","",Orders!$D24)</f>
        <v/>
      </c>
      <c r="D44" s="5" t="str">
        <f>IF(Orders!$A24="","",Orders!$G24)</f>
        <v/>
      </c>
      <c r="E44" s="5" t="str">
        <f>IF(Orders!$A24="","",Orders!$K24)</f>
        <v/>
      </c>
      <c r="F44" s="5" t="str">
        <f>IF(Orders!$A24="","",Orders!$O24)</f>
        <v/>
      </c>
      <c r="G44" s="5" t="str">
        <f>IF(Orders!$A24="","",Orders!$P24)</f>
        <v/>
      </c>
      <c r="H44" t="str">
        <f>IF(Orders!$A24="","",Orders!$Q24)</f>
        <v/>
      </c>
    </row>
    <row r="45" spans="1:8">
      <c r="A45" t="str">
        <f>IF(Orders!$A25="","",Orders!$A25)</f>
        <v/>
      </c>
      <c r="B45" t="str">
        <f>IF(Orders!$A25="","",Orders!$B25)</f>
        <v/>
      </c>
      <c r="C45" t="str">
        <f>IF(Orders!$A25="","",Orders!$D25)</f>
        <v/>
      </c>
      <c r="D45" s="5" t="str">
        <f>IF(Orders!$A25="","",Orders!$G25)</f>
        <v/>
      </c>
      <c r="E45" s="5" t="str">
        <f>IF(Orders!$A25="","",Orders!$K25)</f>
        <v/>
      </c>
      <c r="F45" s="5" t="str">
        <f>IF(Orders!$A25="","",Orders!$O25)</f>
        <v/>
      </c>
      <c r="G45" s="5" t="str">
        <f>IF(Orders!$A25="","",Orders!$P25)</f>
        <v/>
      </c>
      <c r="H45" t="str">
        <f>IF(Orders!$A25="","",Orders!$Q25)</f>
        <v/>
      </c>
    </row>
    <row r="46" spans="1:8">
      <c r="A46" t="str">
        <f>IF(Orders!$A26="","",Orders!$A26)</f>
        <v/>
      </c>
      <c r="B46" t="str">
        <f>IF(Orders!$A26="","",Orders!$B26)</f>
        <v/>
      </c>
      <c r="C46" t="str">
        <f>IF(Orders!$A26="","",Orders!$D26)</f>
        <v/>
      </c>
      <c r="D46" s="5" t="str">
        <f>IF(Orders!$A26="","",Orders!$G26)</f>
        <v/>
      </c>
      <c r="E46" s="5" t="str">
        <f>IF(Orders!$A26="","",Orders!$K26)</f>
        <v/>
      </c>
      <c r="F46" s="5" t="str">
        <f>IF(Orders!$A26="","",Orders!$O26)</f>
        <v/>
      </c>
      <c r="G46" s="5" t="str">
        <f>IF(Orders!$A26="","",Orders!$P26)</f>
        <v/>
      </c>
      <c r="H46" t="str">
        <f>IF(Orders!$A26="","",Orders!$Q26)</f>
        <v/>
      </c>
    </row>
    <row r="47" spans="1:8">
      <c r="A47" t="str">
        <f>IF(Orders!$A27="","",Orders!$A27)</f>
        <v/>
      </c>
      <c r="B47" t="str">
        <f>IF(Orders!$A27="","",Orders!$B27)</f>
        <v/>
      </c>
      <c r="C47" t="str">
        <f>IF(Orders!$A27="","",Orders!$D27)</f>
        <v/>
      </c>
      <c r="D47" s="5" t="str">
        <f>IF(Orders!$A27="","",Orders!$G27)</f>
        <v/>
      </c>
      <c r="E47" s="5" t="str">
        <f>IF(Orders!$A27="","",Orders!$K27)</f>
        <v/>
      </c>
      <c r="F47" s="5" t="str">
        <f>IF(Orders!$A27="","",Orders!$O27)</f>
        <v/>
      </c>
      <c r="G47" s="5" t="str">
        <f>IF(Orders!$A27="","",Orders!$P27)</f>
        <v/>
      </c>
      <c r="H47" t="str">
        <f>IF(Orders!$A27="","",Orders!$Q27)</f>
        <v/>
      </c>
    </row>
    <row r="48" spans="1:8">
      <c r="A48" t="str">
        <f>IF(Orders!$A28="","",Orders!$A28)</f>
        <v/>
      </c>
      <c r="B48" t="str">
        <f>IF(Orders!$A28="","",Orders!$B28)</f>
        <v/>
      </c>
      <c r="C48" t="str">
        <f>IF(Orders!$A28="","",Orders!$D28)</f>
        <v/>
      </c>
      <c r="D48" s="5" t="str">
        <f>IF(Orders!$A28="","",Orders!$G28)</f>
        <v/>
      </c>
      <c r="E48" s="5" t="str">
        <f>IF(Orders!$A28="","",Orders!$K28)</f>
        <v/>
      </c>
      <c r="F48" s="5" t="str">
        <f>IF(Orders!$A28="","",Orders!$O28)</f>
        <v/>
      </c>
      <c r="G48" s="5" t="str">
        <f>IF(Orders!$A28="","",Orders!$P28)</f>
        <v/>
      </c>
      <c r="H48" t="str">
        <f>IF(Orders!$A28="","",Orders!$Q28)</f>
        <v/>
      </c>
    </row>
    <row r="49" spans="1:8">
      <c r="A49" t="str">
        <f>IF(Orders!$A29="","",Orders!$A29)</f>
        <v/>
      </c>
      <c r="B49" t="str">
        <f>IF(Orders!$A29="","",Orders!$B29)</f>
        <v/>
      </c>
      <c r="C49" t="str">
        <f>IF(Orders!$A29="","",Orders!$D29)</f>
        <v/>
      </c>
      <c r="D49" s="5" t="str">
        <f>IF(Orders!$A29="","",Orders!$G29)</f>
        <v/>
      </c>
      <c r="E49" s="5" t="str">
        <f>IF(Orders!$A29="","",Orders!$K29)</f>
        <v/>
      </c>
      <c r="F49" s="5" t="str">
        <f>IF(Orders!$A29="","",Orders!$O29)</f>
        <v/>
      </c>
      <c r="G49" s="5" t="str">
        <f>IF(Orders!$A29="","",Orders!$P29)</f>
        <v/>
      </c>
      <c r="H49" t="str">
        <f>IF(Orders!$A29="","",Orders!$Q29)</f>
        <v/>
      </c>
    </row>
    <row r="50" spans="1:8">
      <c r="A50" t="str">
        <f>IF(Orders!$A30="","",Orders!$A30)</f>
        <v/>
      </c>
      <c r="B50" t="str">
        <f>IF(Orders!$A30="","",Orders!$B30)</f>
        <v/>
      </c>
      <c r="C50" t="str">
        <f>IF(Orders!$A30="","",Orders!$D30)</f>
        <v/>
      </c>
      <c r="D50" s="5" t="str">
        <f>IF(Orders!$A30="","",Orders!$G30)</f>
        <v/>
      </c>
      <c r="E50" s="5" t="str">
        <f>IF(Orders!$A30="","",Orders!$K30)</f>
        <v/>
      </c>
      <c r="F50" s="5" t="str">
        <f>IF(Orders!$A30="","",Orders!$O30)</f>
        <v/>
      </c>
      <c r="G50" s="5" t="str">
        <f>IF(Orders!$A30="","",Orders!$P30)</f>
        <v/>
      </c>
      <c r="H50" t="str">
        <f>IF(Orders!$A30="","",Orders!$Q30)</f>
        <v/>
      </c>
    </row>
    <row r="51" spans="1:8">
      <c r="A51" t="str">
        <f>IF(Orders!$A31="","",Orders!$A31)</f>
        <v/>
      </c>
      <c r="B51" t="str">
        <f>IF(Orders!$A31="","",Orders!$B31)</f>
        <v/>
      </c>
      <c r="C51" t="str">
        <f>IF(Orders!$A31="","",Orders!$D31)</f>
        <v/>
      </c>
      <c r="D51" s="5" t="str">
        <f>IF(Orders!$A31="","",Orders!$G31)</f>
        <v/>
      </c>
      <c r="E51" s="5" t="str">
        <f>IF(Orders!$A31="","",Orders!$K31)</f>
        <v/>
      </c>
      <c r="F51" s="5" t="str">
        <f>IF(Orders!$A31="","",Orders!$O31)</f>
        <v/>
      </c>
      <c r="G51" s="5" t="str">
        <f>IF(Orders!$A31="","",Orders!$P31)</f>
        <v/>
      </c>
      <c r="H51" t="str">
        <f>IF(Orders!$A31="","",Orders!$Q31)</f>
        <v/>
      </c>
    </row>
    <row r="52" spans="1:8">
      <c r="A52" t="str">
        <f>IF(Orders!$A32="","",Orders!$A32)</f>
        <v/>
      </c>
      <c r="B52" t="str">
        <f>IF(Orders!$A32="","",Orders!$B32)</f>
        <v/>
      </c>
      <c r="C52" t="str">
        <f>IF(Orders!$A32="","",Orders!$D32)</f>
        <v/>
      </c>
      <c r="D52" s="5" t="str">
        <f>IF(Orders!$A32="","",Orders!$G32)</f>
        <v/>
      </c>
      <c r="E52" s="5" t="str">
        <f>IF(Orders!$A32="","",Orders!$K32)</f>
        <v/>
      </c>
      <c r="F52" s="5" t="str">
        <f>IF(Orders!$A32="","",Orders!$O32)</f>
        <v/>
      </c>
      <c r="G52" s="5" t="str">
        <f>IF(Orders!$A32="","",Orders!$P32)</f>
        <v/>
      </c>
      <c r="H52" t="str">
        <f>IF(Orders!$A32="","",Orders!$Q32)</f>
        <v/>
      </c>
    </row>
    <row r="53" spans="1:8">
      <c r="A53" t="str">
        <f>IF(Orders!$A33="","",Orders!$A33)</f>
        <v/>
      </c>
      <c r="B53" t="str">
        <f>IF(Orders!$A33="","",Orders!$B33)</f>
        <v/>
      </c>
      <c r="C53" t="str">
        <f>IF(Orders!$A33="","",Orders!$D33)</f>
        <v/>
      </c>
      <c r="D53" s="5" t="str">
        <f>IF(Orders!$A33="","",Orders!$G33)</f>
        <v/>
      </c>
      <c r="E53" s="5" t="str">
        <f>IF(Orders!$A33="","",Orders!$K33)</f>
        <v/>
      </c>
      <c r="F53" s="5" t="str">
        <f>IF(Orders!$A33="","",Orders!$O33)</f>
        <v/>
      </c>
      <c r="G53" s="5" t="str">
        <f>IF(Orders!$A33="","",Orders!$P33)</f>
        <v/>
      </c>
      <c r="H53" t="str">
        <f>IF(Orders!$A33="","",Orders!$Q33)</f>
        <v/>
      </c>
    </row>
    <row r="54" spans="1:8">
      <c r="A54" t="str">
        <f>IF(Orders!$A34="","",Orders!$A34)</f>
        <v/>
      </c>
      <c r="B54" t="str">
        <f>IF(Orders!$A34="","",Orders!$B34)</f>
        <v/>
      </c>
      <c r="C54" t="str">
        <f>IF(Orders!$A34="","",Orders!$D34)</f>
        <v/>
      </c>
      <c r="D54" s="5" t="str">
        <f>IF(Orders!$A34="","",Orders!$G34)</f>
        <v/>
      </c>
      <c r="E54" s="5" t="str">
        <f>IF(Orders!$A34="","",Orders!$K34)</f>
        <v/>
      </c>
      <c r="F54" s="5" t="str">
        <f>IF(Orders!$A34="","",Orders!$O34)</f>
        <v/>
      </c>
      <c r="G54" s="5" t="str">
        <f>IF(Orders!$A34="","",Orders!$P34)</f>
        <v/>
      </c>
      <c r="H54" t="str">
        <f>IF(Orders!$A34="","",Orders!$Q34)</f>
        <v/>
      </c>
    </row>
    <row r="55" spans="1:8">
      <c r="A55" t="str">
        <f>IF(Orders!$A35="","",Orders!$A35)</f>
        <v/>
      </c>
      <c r="B55" t="str">
        <f>IF(Orders!$A35="","",Orders!$B35)</f>
        <v/>
      </c>
      <c r="C55" t="str">
        <f>IF(Orders!$A35="","",Orders!$D35)</f>
        <v/>
      </c>
      <c r="D55" s="5" t="str">
        <f>IF(Orders!$A35="","",Orders!$G35)</f>
        <v/>
      </c>
      <c r="E55" s="5" t="str">
        <f>IF(Orders!$A35="","",Orders!$K35)</f>
        <v/>
      </c>
      <c r="F55" s="5" t="str">
        <f>IF(Orders!$A35="","",Orders!$O35)</f>
        <v/>
      </c>
      <c r="G55" s="5" t="str">
        <f>IF(Orders!$A35="","",Orders!$P35)</f>
        <v/>
      </c>
      <c r="H55" t="str">
        <f>IF(Orders!$A35="","",Orders!$Q35)</f>
        <v/>
      </c>
    </row>
    <row r="56" spans="1:8">
      <c r="A56" t="str">
        <f>IF(Orders!$A36="","",Orders!$A36)</f>
        <v/>
      </c>
      <c r="B56" t="str">
        <f>IF(Orders!$A36="","",Orders!$B36)</f>
        <v/>
      </c>
      <c r="C56" t="str">
        <f>IF(Orders!$A36="","",Orders!$D36)</f>
        <v/>
      </c>
      <c r="D56" s="5" t="str">
        <f>IF(Orders!$A36="","",Orders!$G36)</f>
        <v/>
      </c>
      <c r="E56" s="5" t="str">
        <f>IF(Orders!$A36="","",Orders!$K36)</f>
        <v/>
      </c>
      <c r="F56" s="5" t="str">
        <f>IF(Orders!$A36="","",Orders!$O36)</f>
        <v/>
      </c>
      <c r="G56" s="5" t="str">
        <f>IF(Orders!$A36="","",Orders!$P36)</f>
        <v/>
      </c>
      <c r="H56" t="str">
        <f>IF(Orders!$A36="","",Orders!$Q36)</f>
        <v/>
      </c>
    </row>
    <row r="57" spans="1:8">
      <c r="A57" t="str">
        <f>IF(Orders!$A37="","",Orders!$A37)</f>
        <v/>
      </c>
      <c r="B57" t="str">
        <f>IF(Orders!$A37="","",Orders!$B37)</f>
        <v/>
      </c>
      <c r="C57" t="str">
        <f>IF(Orders!$A37="","",Orders!$D37)</f>
        <v/>
      </c>
      <c r="D57" s="5" t="str">
        <f>IF(Orders!$A37="","",Orders!$G37)</f>
        <v/>
      </c>
      <c r="E57" s="5" t="str">
        <f>IF(Orders!$A37="","",Orders!$K37)</f>
        <v/>
      </c>
      <c r="F57" s="5" t="str">
        <f>IF(Orders!$A37="","",Orders!$O37)</f>
        <v/>
      </c>
      <c r="G57" s="5" t="str">
        <f>IF(Orders!$A37="","",Orders!$P37)</f>
        <v/>
      </c>
      <c r="H57" t="str">
        <f>IF(Orders!$A37="","",Orders!$Q37)</f>
        <v/>
      </c>
    </row>
    <row r="58" spans="1:8">
      <c r="A58" t="str">
        <f>IF(Orders!$A38="","",Orders!$A38)</f>
        <v/>
      </c>
      <c r="B58" t="str">
        <f>IF(Orders!$A38="","",Orders!$B38)</f>
        <v/>
      </c>
      <c r="C58" t="str">
        <f>IF(Orders!$A38="","",Orders!$D38)</f>
        <v/>
      </c>
      <c r="D58" s="5" t="str">
        <f>IF(Orders!$A38="","",Orders!$G38)</f>
        <v/>
      </c>
      <c r="E58" s="5" t="str">
        <f>IF(Orders!$A38="","",Orders!$K38)</f>
        <v/>
      </c>
      <c r="F58" s="5" t="str">
        <f>IF(Orders!$A38="","",Orders!$O38)</f>
        <v/>
      </c>
      <c r="G58" s="5" t="str">
        <f>IF(Orders!$A38="","",Orders!$P38)</f>
        <v/>
      </c>
      <c r="H58" t="str">
        <f>IF(Orders!$A38="","",Orders!$Q38)</f>
        <v/>
      </c>
    </row>
    <row r="59" spans="1:8">
      <c r="A59" t="str">
        <f>IF(Orders!$A39="","",Orders!$A39)</f>
        <v/>
      </c>
      <c r="B59" t="str">
        <f>IF(Orders!$A39="","",Orders!$B39)</f>
        <v/>
      </c>
      <c r="C59" t="str">
        <f>IF(Orders!$A39="","",Orders!$D39)</f>
        <v/>
      </c>
      <c r="D59" s="5" t="str">
        <f>IF(Orders!$A39="","",Orders!$G39)</f>
        <v/>
      </c>
      <c r="E59" s="5" t="str">
        <f>IF(Orders!$A39="","",Orders!$K39)</f>
        <v/>
      </c>
      <c r="F59" s="5" t="str">
        <f>IF(Orders!$A39="","",Orders!$O39)</f>
        <v/>
      </c>
      <c r="G59" s="5" t="str">
        <f>IF(Orders!$A39="","",Orders!$P39)</f>
        <v/>
      </c>
      <c r="H59" t="str">
        <f>IF(Orders!$A39="","",Orders!$Q39)</f>
        <v/>
      </c>
    </row>
    <row r="60" spans="1:8">
      <c r="A60" t="str">
        <f>IF(Orders!$A40="","",Orders!$A40)</f>
        <v/>
      </c>
      <c r="B60" t="str">
        <f>IF(Orders!$A40="","",Orders!$B40)</f>
        <v/>
      </c>
      <c r="C60" t="str">
        <f>IF(Orders!$A40="","",Orders!$D40)</f>
        <v/>
      </c>
      <c r="D60" s="5" t="str">
        <f>IF(Orders!$A40="","",Orders!$G40)</f>
        <v/>
      </c>
      <c r="E60" s="5" t="str">
        <f>IF(Orders!$A40="","",Orders!$K40)</f>
        <v/>
      </c>
      <c r="F60" s="5" t="str">
        <f>IF(Orders!$A40="","",Orders!$O40)</f>
        <v/>
      </c>
      <c r="G60" s="5" t="str">
        <f>IF(Orders!$A40="","",Orders!$P40)</f>
        <v/>
      </c>
      <c r="H60" t="str">
        <f>IF(Orders!$A40="","",Orders!$Q40)</f>
        <v/>
      </c>
    </row>
    <row r="61" spans="1:8">
      <c r="A61" t="str">
        <f>IF(Orders!$A41="","",Orders!$A41)</f>
        <v/>
      </c>
      <c r="B61" t="str">
        <f>IF(Orders!$A41="","",Orders!$B41)</f>
        <v/>
      </c>
      <c r="C61" t="str">
        <f>IF(Orders!$A41="","",Orders!$D41)</f>
        <v/>
      </c>
      <c r="D61" s="5" t="str">
        <f>IF(Orders!$A41="","",Orders!$G41)</f>
        <v/>
      </c>
      <c r="E61" s="5" t="str">
        <f>IF(Orders!$A41="","",Orders!$K41)</f>
        <v/>
      </c>
      <c r="F61" s="5" t="str">
        <f>IF(Orders!$A41="","",Orders!$O41)</f>
        <v/>
      </c>
      <c r="G61" s="5" t="str">
        <f>IF(Orders!$A41="","",Orders!$P41)</f>
        <v/>
      </c>
      <c r="H61" t="str">
        <f>IF(Orders!$A41="","",Orders!$Q41)</f>
        <v/>
      </c>
    </row>
    <row r="62" spans="1:8">
      <c r="A62" t="str">
        <f>IF(Orders!$A42="","",Orders!$A42)</f>
        <v/>
      </c>
      <c r="B62" t="str">
        <f>IF(Orders!$A42="","",Orders!$B42)</f>
        <v/>
      </c>
      <c r="C62" t="str">
        <f>IF(Orders!$A42="","",Orders!$D42)</f>
        <v/>
      </c>
      <c r="D62" s="5" t="str">
        <f>IF(Orders!$A42="","",Orders!$G42)</f>
        <v/>
      </c>
      <c r="E62" s="5" t="str">
        <f>IF(Orders!$A42="","",Orders!$K42)</f>
        <v/>
      </c>
      <c r="F62" s="5" t="str">
        <f>IF(Orders!$A42="","",Orders!$O42)</f>
        <v/>
      </c>
      <c r="G62" s="5" t="str">
        <f>IF(Orders!$A42="","",Orders!$P42)</f>
        <v/>
      </c>
      <c r="H62" t="str">
        <f>IF(Orders!$A42="","",Orders!$Q42)</f>
        <v/>
      </c>
    </row>
    <row r="63" spans="1:8">
      <c r="A63" t="str">
        <f>IF(Orders!$A43="","",Orders!$A43)</f>
        <v/>
      </c>
      <c r="B63" t="str">
        <f>IF(Orders!$A43="","",Orders!$B43)</f>
        <v/>
      </c>
      <c r="C63" t="str">
        <f>IF(Orders!$A43="","",Orders!$D43)</f>
        <v/>
      </c>
      <c r="D63" s="5" t="str">
        <f>IF(Orders!$A43="","",Orders!$G43)</f>
        <v/>
      </c>
      <c r="E63" s="5" t="str">
        <f>IF(Orders!$A43="","",Orders!$K43)</f>
        <v/>
      </c>
      <c r="F63" s="5" t="str">
        <f>IF(Orders!$A43="","",Orders!$O43)</f>
        <v/>
      </c>
      <c r="G63" s="5" t="str">
        <f>IF(Orders!$A43="","",Orders!$P43)</f>
        <v/>
      </c>
      <c r="H63" t="str">
        <f>IF(Orders!$A43="","",Orders!$Q43)</f>
        <v/>
      </c>
    </row>
    <row r="64" spans="1:8">
      <c r="A64" t="str">
        <f>IF(Orders!$A44="","",Orders!$A44)</f>
        <v/>
      </c>
      <c r="B64" t="str">
        <f>IF(Orders!$A44="","",Orders!$B44)</f>
        <v/>
      </c>
      <c r="C64" t="str">
        <f>IF(Orders!$A44="","",Orders!$D44)</f>
        <v/>
      </c>
      <c r="D64" s="5" t="str">
        <f>IF(Orders!$A44="","",Orders!$G44)</f>
        <v/>
      </c>
      <c r="E64" s="5" t="str">
        <f>IF(Orders!$A44="","",Orders!$K44)</f>
        <v/>
      </c>
      <c r="F64" s="5" t="str">
        <f>IF(Orders!$A44="","",Orders!$O44)</f>
        <v/>
      </c>
      <c r="G64" s="5" t="str">
        <f>IF(Orders!$A44="","",Orders!$P44)</f>
        <v/>
      </c>
      <c r="H64" t="str">
        <f>IF(Orders!$A44="","",Orders!$Q44)</f>
        <v/>
      </c>
    </row>
    <row r="65" spans="1:8">
      <c r="A65" t="str">
        <f>IF(Orders!$A45="","",Orders!$A45)</f>
        <v/>
      </c>
      <c r="B65" t="str">
        <f>IF(Orders!$A45="","",Orders!$B45)</f>
        <v/>
      </c>
      <c r="C65" t="str">
        <f>IF(Orders!$A45="","",Orders!$D45)</f>
        <v/>
      </c>
      <c r="D65" s="5" t="str">
        <f>IF(Orders!$A45="","",Orders!$G45)</f>
        <v/>
      </c>
      <c r="E65" s="5" t="str">
        <f>IF(Orders!$A45="","",Orders!$K45)</f>
        <v/>
      </c>
      <c r="F65" s="5" t="str">
        <f>IF(Orders!$A45="","",Orders!$O45)</f>
        <v/>
      </c>
      <c r="G65" s="5" t="str">
        <f>IF(Orders!$A45="","",Orders!$P45)</f>
        <v/>
      </c>
      <c r="H65" t="str">
        <f>IF(Orders!$A45="","",Orders!$Q45)</f>
        <v/>
      </c>
    </row>
    <row r="66" spans="1:8">
      <c r="A66" t="str">
        <f>IF(Orders!$A46="","",Orders!$A46)</f>
        <v/>
      </c>
      <c r="B66" t="str">
        <f>IF(Orders!$A46="","",Orders!$B46)</f>
        <v/>
      </c>
      <c r="C66" t="str">
        <f>IF(Orders!$A46="","",Orders!$D46)</f>
        <v/>
      </c>
      <c r="D66" s="5" t="str">
        <f>IF(Orders!$A46="","",Orders!$G46)</f>
        <v/>
      </c>
      <c r="E66" s="5" t="str">
        <f>IF(Orders!$A46="","",Orders!$K46)</f>
        <v/>
      </c>
      <c r="F66" s="5" t="str">
        <f>IF(Orders!$A46="","",Orders!$O46)</f>
        <v/>
      </c>
      <c r="G66" s="5" t="str">
        <f>IF(Orders!$A46="","",Orders!$P46)</f>
        <v/>
      </c>
      <c r="H66" t="str">
        <f>IF(Orders!$A46="","",Orders!$Q46)</f>
        <v/>
      </c>
    </row>
    <row r="67" spans="1:8">
      <c r="A67" t="str">
        <f>IF(Orders!$A47="","",Orders!$A47)</f>
        <v/>
      </c>
      <c r="B67" t="str">
        <f>IF(Orders!$A47="","",Orders!$B47)</f>
        <v/>
      </c>
      <c r="C67" t="str">
        <f>IF(Orders!$A47="","",Orders!$D47)</f>
        <v/>
      </c>
      <c r="D67" s="5" t="str">
        <f>IF(Orders!$A47="","",Orders!$G47)</f>
        <v/>
      </c>
      <c r="E67" s="5" t="str">
        <f>IF(Orders!$A47="","",Orders!$K47)</f>
        <v/>
      </c>
      <c r="F67" s="5" t="str">
        <f>IF(Orders!$A47="","",Orders!$O47)</f>
        <v/>
      </c>
      <c r="G67" s="5" t="str">
        <f>IF(Orders!$A47="","",Orders!$P47)</f>
        <v/>
      </c>
      <c r="H67" t="str">
        <f>IF(Orders!$A47="","",Orders!$Q47)</f>
        <v/>
      </c>
    </row>
    <row r="68" spans="1:8">
      <c r="A68" t="str">
        <f>IF(Orders!$A48="","",Orders!$A48)</f>
        <v/>
      </c>
      <c r="B68" t="str">
        <f>IF(Orders!$A48="","",Orders!$B48)</f>
        <v/>
      </c>
      <c r="C68" t="str">
        <f>IF(Orders!$A48="","",Orders!$D48)</f>
        <v/>
      </c>
      <c r="D68" s="5" t="str">
        <f>IF(Orders!$A48="","",Orders!$G48)</f>
        <v/>
      </c>
      <c r="E68" s="5" t="str">
        <f>IF(Orders!$A48="","",Orders!$K48)</f>
        <v/>
      </c>
      <c r="F68" s="5" t="str">
        <f>IF(Orders!$A48="","",Orders!$O48)</f>
        <v/>
      </c>
      <c r="G68" s="5" t="str">
        <f>IF(Orders!$A48="","",Orders!$P48)</f>
        <v/>
      </c>
      <c r="H68" t="str">
        <f>IF(Orders!$A48="","",Orders!$Q48)</f>
        <v/>
      </c>
    </row>
    <row r="69" spans="1:8">
      <c r="A69" t="str">
        <f>IF(Orders!$A49="","",Orders!$A49)</f>
        <v/>
      </c>
      <c r="B69" t="str">
        <f>IF(Orders!$A49="","",Orders!$B49)</f>
        <v/>
      </c>
      <c r="C69" t="str">
        <f>IF(Orders!$A49="","",Orders!$D49)</f>
        <v/>
      </c>
      <c r="D69" s="5" t="str">
        <f>IF(Orders!$A49="","",Orders!$G49)</f>
        <v/>
      </c>
      <c r="E69" s="5" t="str">
        <f>IF(Orders!$A49="","",Orders!$K49)</f>
        <v/>
      </c>
      <c r="F69" s="5" t="str">
        <f>IF(Orders!$A49="","",Orders!$O49)</f>
        <v/>
      </c>
      <c r="G69" s="5" t="str">
        <f>IF(Orders!$A49="","",Orders!$P49)</f>
        <v/>
      </c>
      <c r="H69" t="str">
        <f>IF(Orders!$A49="","",Orders!$Q49)</f>
        <v/>
      </c>
    </row>
    <row r="70" spans="1:8">
      <c r="A70" t="str">
        <f>IF(Orders!$A50="","",Orders!$A50)</f>
        <v/>
      </c>
      <c r="B70" t="str">
        <f>IF(Orders!$A50="","",Orders!$B50)</f>
        <v/>
      </c>
      <c r="C70" t="str">
        <f>IF(Orders!$A50="","",Orders!$D50)</f>
        <v/>
      </c>
      <c r="D70" s="5" t="str">
        <f>IF(Orders!$A50="","",Orders!$G50)</f>
        <v/>
      </c>
      <c r="E70" s="5" t="str">
        <f>IF(Orders!$A50="","",Orders!$K50)</f>
        <v/>
      </c>
      <c r="F70" s="5" t="str">
        <f>IF(Orders!$A50="","",Orders!$O50)</f>
        <v/>
      </c>
      <c r="G70" s="5" t="str">
        <f>IF(Orders!$A50="","",Orders!$P50)</f>
        <v/>
      </c>
      <c r="H70" t="str">
        <f>IF(Orders!$A50="","",Orders!$Q50)</f>
        <v/>
      </c>
    </row>
    <row r="71" spans="1:8">
      <c r="A71" t="str">
        <f>IF(Orders!$A51="","",Orders!$A51)</f>
        <v/>
      </c>
      <c r="B71" t="str">
        <f>IF(Orders!$A51="","",Orders!$B51)</f>
        <v/>
      </c>
      <c r="C71" t="str">
        <f>IF(Orders!$A51="","",Orders!$D51)</f>
        <v/>
      </c>
      <c r="D71" s="5" t="str">
        <f>IF(Orders!$A51="","",Orders!$G51)</f>
        <v/>
      </c>
      <c r="E71" s="5" t="str">
        <f>IF(Orders!$A51="","",Orders!$K51)</f>
        <v/>
      </c>
      <c r="F71" s="5" t="str">
        <f>IF(Orders!$A51="","",Orders!$O51)</f>
        <v/>
      </c>
      <c r="G71" s="5" t="str">
        <f>IF(Orders!$A51="","",Orders!$P51)</f>
        <v/>
      </c>
      <c r="H71" t="str">
        <f>IF(Orders!$A51="","",Orders!$Q51)</f>
        <v/>
      </c>
    </row>
    <row r="72" spans="1:8">
      <c r="A72" t="str">
        <f>IF(Orders!$A52="","",Orders!$A52)</f>
        <v/>
      </c>
      <c r="B72" t="str">
        <f>IF(Orders!$A52="","",Orders!$B52)</f>
        <v/>
      </c>
      <c r="C72" t="str">
        <f>IF(Orders!$A52="","",Orders!$D52)</f>
        <v/>
      </c>
      <c r="D72" s="5" t="str">
        <f>IF(Orders!$A52="","",Orders!$G52)</f>
        <v/>
      </c>
      <c r="E72" s="5" t="str">
        <f>IF(Orders!$A52="","",Orders!$K52)</f>
        <v/>
      </c>
      <c r="F72" s="5" t="str">
        <f>IF(Orders!$A52="","",Orders!$O52)</f>
        <v/>
      </c>
      <c r="G72" s="5" t="str">
        <f>IF(Orders!$A52="","",Orders!$P52)</f>
        <v/>
      </c>
      <c r="H72" t="str">
        <f>IF(Orders!$A52="","",Orders!$Q52)</f>
        <v/>
      </c>
    </row>
    <row r="73" spans="1:8">
      <c r="A73" t="str">
        <f>IF(Orders!$A53="","",Orders!$A53)</f>
        <v/>
      </c>
      <c r="B73" t="str">
        <f>IF(Orders!$A53="","",Orders!$B53)</f>
        <v/>
      </c>
      <c r="C73" t="str">
        <f>IF(Orders!$A53="","",Orders!$D53)</f>
        <v/>
      </c>
      <c r="D73" s="5" t="str">
        <f>IF(Orders!$A53="","",Orders!$G53)</f>
        <v/>
      </c>
      <c r="E73" s="5" t="str">
        <f>IF(Orders!$A53="","",Orders!$K53)</f>
        <v/>
      </c>
      <c r="F73" s="5" t="str">
        <f>IF(Orders!$A53="","",Orders!$O53)</f>
        <v/>
      </c>
      <c r="G73" s="5" t="str">
        <f>IF(Orders!$A53="","",Orders!$P53)</f>
        <v/>
      </c>
      <c r="H73" t="str">
        <f>IF(Orders!$A53="","",Orders!$Q53)</f>
        <v/>
      </c>
    </row>
    <row r="74" spans="1:8">
      <c r="A74" t="str">
        <f>IF(Orders!$A54="","",Orders!$A54)</f>
        <v/>
      </c>
      <c r="B74" t="str">
        <f>IF(Orders!$A54="","",Orders!$B54)</f>
        <v/>
      </c>
      <c r="C74" t="str">
        <f>IF(Orders!$A54="","",Orders!$D54)</f>
        <v/>
      </c>
      <c r="D74" s="5" t="str">
        <f>IF(Orders!$A54="","",Orders!$G54)</f>
        <v/>
      </c>
      <c r="E74" s="5" t="str">
        <f>IF(Orders!$A54="","",Orders!$K54)</f>
        <v/>
      </c>
      <c r="F74" s="5" t="str">
        <f>IF(Orders!$A54="","",Orders!$O54)</f>
        <v/>
      </c>
      <c r="G74" s="5" t="str">
        <f>IF(Orders!$A54="","",Orders!$P54)</f>
        <v/>
      </c>
      <c r="H74" t="str">
        <f>IF(Orders!$A54="","",Orders!$Q54)</f>
        <v/>
      </c>
    </row>
    <row r="75" spans="1:8">
      <c r="A75" t="str">
        <f>IF(Orders!$A55="","",Orders!$A55)</f>
        <v/>
      </c>
      <c r="B75" t="str">
        <f>IF(Orders!$A55="","",Orders!$B55)</f>
        <v/>
      </c>
      <c r="C75" t="str">
        <f>IF(Orders!$A55="","",Orders!$D55)</f>
        <v/>
      </c>
      <c r="D75" s="5" t="str">
        <f>IF(Orders!$A55="","",Orders!$G55)</f>
        <v/>
      </c>
      <c r="E75" s="5" t="str">
        <f>IF(Orders!$A55="","",Orders!$K55)</f>
        <v/>
      </c>
      <c r="F75" s="5" t="str">
        <f>IF(Orders!$A55="","",Orders!$O55)</f>
        <v/>
      </c>
      <c r="G75" s="5" t="str">
        <f>IF(Orders!$A55="","",Orders!$P55)</f>
        <v/>
      </c>
      <c r="H75" t="str">
        <f>IF(Orders!$A55="","",Orders!$Q55)</f>
        <v/>
      </c>
    </row>
    <row r="76" spans="1:8">
      <c r="A76" t="str">
        <f>IF(Orders!$A56="","",Orders!$A56)</f>
        <v/>
      </c>
      <c r="B76" t="str">
        <f>IF(Orders!$A56="","",Orders!$B56)</f>
        <v/>
      </c>
      <c r="C76" t="str">
        <f>IF(Orders!$A56="","",Orders!$D56)</f>
        <v/>
      </c>
      <c r="D76" s="5" t="str">
        <f>IF(Orders!$A56="","",Orders!$G56)</f>
        <v/>
      </c>
      <c r="E76" s="5" t="str">
        <f>IF(Orders!$A56="","",Orders!$K56)</f>
        <v/>
      </c>
      <c r="F76" s="5" t="str">
        <f>IF(Orders!$A56="","",Orders!$O56)</f>
        <v/>
      </c>
      <c r="G76" s="5" t="str">
        <f>IF(Orders!$A56="","",Orders!$P56)</f>
        <v/>
      </c>
      <c r="H76" t="str">
        <f>IF(Orders!$A56="","",Orders!$Q56)</f>
        <v/>
      </c>
    </row>
    <row r="77" spans="1:8">
      <c r="A77" t="str">
        <f>IF(Orders!$A57="","",Orders!$A57)</f>
        <v/>
      </c>
      <c r="B77" t="str">
        <f>IF(Orders!$A57="","",Orders!$B57)</f>
        <v/>
      </c>
      <c r="C77" t="str">
        <f>IF(Orders!$A57="","",Orders!$D57)</f>
        <v/>
      </c>
      <c r="D77" s="5" t="str">
        <f>IF(Orders!$A57="","",Orders!$G57)</f>
        <v/>
      </c>
      <c r="E77" s="5" t="str">
        <f>IF(Orders!$A57="","",Orders!$K57)</f>
        <v/>
      </c>
      <c r="F77" s="5" t="str">
        <f>IF(Orders!$A57="","",Orders!$O57)</f>
        <v/>
      </c>
      <c r="G77" s="5" t="str">
        <f>IF(Orders!$A57="","",Orders!$P57)</f>
        <v/>
      </c>
      <c r="H77" t="str">
        <f>IF(Orders!$A57="","",Orders!$Q57)</f>
        <v/>
      </c>
    </row>
    <row r="78" spans="1:8">
      <c r="A78" t="str">
        <f>IF(Orders!$A58="","",Orders!$A58)</f>
        <v/>
      </c>
      <c r="B78" t="str">
        <f>IF(Orders!$A58="","",Orders!$B58)</f>
        <v/>
      </c>
      <c r="C78" t="str">
        <f>IF(Orders!$A58="","",Orders!$D58)</f>
        <v/>
      </c>
      <c r="D78" s="5" t="str">
        <f>IF(Orders!$A58="","",Orders!$G58)</f>
        <v/>
      </c>
      <c r="E78" s="5" t="str">
        <f>IF(Orders!$A58="","",Orders!$K58)</f>
        <v/>
      </c>
      <c r="F78" s="5" t="str">
        <f>IF(Orders!$A58="","",Orders!$O58)</f>
        <v/>
      </c>
      <c r="G78" s="5" t="str">
        <f>IF(Orders!$A58="","",Orders!$P58)</f>
        <v/>
      </c>
      <c r="H78" t="str">
        <f>IF(Orders!$A58="","",Orders!$Q58)</f>
        <v/>
      </c>
    </row>
    <row r="79" spans="1:8">
      <c r="A79" t="str">
        <f>IF(Orders!$A59="","",Orders!$A59)</f>
        <v/>
      </c>
      <c r="B79" t="str">
        <f>IF(Orders!$A59="","",Orders!$B59)</f>
        <v/>
      </c>
      <c r="C79" t="str">
        <f>IF(Orders!$A59="","",Orders!$D59)</f>
        <v/>
      </c>
      <c r="D79" s="5" t="str">
        <f>IF(Orders!$A59="","",Orders!$G59)</f>
        <v/>
      </c>
      <c r="E79" s="5" t="str">
        <f>IF(Orders!$A59="","",Orders!$K59)</f>
        <v/>
      </c>
      <c r="F79" s="5" t="str">
        <f>IF(Orders!$A59="","",Orders!$O59)</f>
        <v/>
      </c>
      <c r="G79" s="5" t="str">
        <f>IF(Orders!$A59="","",Orders!$P59)</f>
        <v/>
      </c>
      <c r="H79" t="str">
        <f>IF(Orders!$A59="","",Orders!$Q59)</f>
        <v/>
      </c>
    </row>
    <row r="80" spans="1:8">
      <c r="A80" t="str">
        <f>IF(Orders!$A60="","",Orders!$A60)</f>
        <v/>
      </c>
      <c r="B80" t="str">
        <f>IF(Orders!$A60="","",Orders!$B60)</f>
        <v/>
      </c>
      <c r="C80" t="str">
        <f>IF(Orders!$A60="","",Orders!$D60)</f>
        <v/>
      </c>
      <c r="D80" s="5" t="str">
        <f>IF(Orders!$A60="","",Orders!$G60)</f>
        <v/>
      </c>
      <c r="E80" s="5" t="str">
        <f>IF(Orders!$A60="","",Orders!$K60)</f>
        <v/>
      </c>
      <c r="F80" s="5" t="str">
        <f>IF(Orders!$A60="","",Orders!$O60)</f>
        <v/>
      </c>
      <c r="G80" s="5" t="str">
        <f>IF(Orders!$A60="","",Orders!$P60)</f>
        <v/>
      </c>
      <c r="H80" t="str">
        <f>IF(Orders!$A60="","",Orders!$Q60)</f>
        <v/>
      </c>
    </row>
    <row r="81" spans="1:8">
      <c r="A81" t="str">
        <f>IF(Orders!$A61="","",Orders!$A61)</f>
        <v/>
      </c>
      <c r="B81" t="str">
        <f>IF(Orders!$A61="","",Orders!$B61)</f>
        <v/>
      </c>
      <c r="C81" t="str">
        <f>IF(Orders!$A61="","",Orders!$D61)</f>
        <v/>
      </c>
      <c r="D81" s="5" t="str">
        <f>IF(Orders!$A61="","",Orders!$G61)</f>
        <v/>
      </c>
      <c r="E81" s="5" t="str">
        <f>IF(Orders!$A61="","",Orders!$K61)</f>
        <v/>
      </c>
      <c r="F81" s="5" t="str">
        <f>IF(Orders!$A61="","",Orders!$O61)</f>
        <v/>
      </c>
      <c r="G81" s="5" t="str">
        <f>IF(Orders!$A61="","",Orders!$P61)</f>
        <v/>
      </c>
      <c r="H81" t="str">
        <f>IF(Orders!$A61="","",Orders!$Q61)</f>
        <v/>
      </c>
    </row>
    <row r="82" spans="1:8">
      <c r="A82" t="str">
        <f>IF(Orders!$A62="","",Orders!$A62)</f>
        <v/>
      </c>
      <c r="B82" t="str">
        <f>IF(Orders!$A62="","",Orders!$B62)</f>
        <v/>
      </c>
      <c r="C82" t="str">
        <f>IF(Orders!$A62="","",Orders!$D62)</f>
        <v/>
      </c>
      <c r="D82" s="5" t="str">
        <f>IF(Orders!$A62="","",Orders!$G62)</f>
        <v/>
      </c>
      <c r="E82" s="5" t="str">
        <f>IF(Orders!$A62="","",Orders!$K62)</f>
        <v/>
      </c>
      <c r="F82" s="5" t="str">
        <f>IF(Orders!$A62="","",Orders!$O62)</f>
        <v/>
      </c>
      <c r="G82" s="5" t="str">
        <f>IF(Orders!$A62="","",Orders!$P62)</f>
        <v/>
      </c>
      <c r="H82" t="str">
        <f>IF(Orders!$A62="","",Orders!$Q62)</f>
        <v/>
      </c>
    </row>
    <row r="83" spans="1:8">
      <c r="A83" t="str">
        <f>IF(Orders!$A63="","",Orders!$A63)</f>
        <v/>
      </c>
      <c r="B83" t="str">
        <f>IF(Orders!$A63="","",Orders!$B63)</f>
        <v/>
      </c>
      <c r="C83" t="str">
        <f>IF(Orders!$A63="","",Orders!$D63)</f>
        <v/>
      </c>
      <c r="D83" s="5" t="str">
        <f>IF(Orders!$A63="","",Orders!$G63)</f>
        <v/>
      </c>
      <c r="E83" s="5" t="str">
        <f>IF(Orders!$A63="","",Orders!$K63)</f>
        <v/>
      </c>
      <c r="F83" s="5" t="str">
        <f>IF(Orders!$A63="","",Orders!$O63)</f>
        <v/>
      </c>
      <c r="G83" s="5" t="str">
        <f>IF(Orders!$A63="","",Orders!$P63)</f>
        <v/>
      </c>
      <c r="H83" t="str">
        <f>IF(Orders!$A63="","",Orders!$Q63)</f>
        <v/>
      </c>
    </row>
    <row r="84" spans="1:8">
      <c r="A84" t="str">
        <f>IF(Orders!$A64="","",Orders!$A64)</f>
        <v/>
      </c>
      <c r="B84" t="str">
        <f>IF(Orders!$A64="","",Orders!$B64)</f>
        <v/>
      </c>
      <c r="C84" t="str">
        <f>IF(Orders!$A64="","",Orders!$D64)</f>
        <v/>
      </c>
      <c r="D84" s="5" t="str">
        <f>IF(Orders!$A64="","",Orders!$G64)</f>
        <v/>
      </c>
      <c r="E84" s="5" t="str">
        <f>IF(Orders!$A64="","",Orders!$K64)</f>
        <v/>
      </c>
      <c r="F84" s="5" t="str">
        <f>IF(Orders!$A64="","",Orders!$O64)</f>
        <v/>
      </c>
      <c r="G84" s="5" t="str">
        <f>IF(Orders!$A64="","",Orders!$P64)</f>
        <v/>
      </c>
      <c r="H84" t="str">
        <f>IF(Orders!$A64="","",Orders!$Q64)</f>
        <v/>
      </c>
    </row>
    <row r="85" spans="1:8">
      <c r="A85" t="str">
        <f>IF(Orders!$A65="","",Orders!$A65)</f>
        <v/>
      </c>
      <c r="B85" t="str">
        <f>IF(Orders!$A65="","",Orders!$B65)</f>
        <v/>
      </c>
      <c r="C85" t="str">
        <f>IF(Orders!$A65="","",Orders!$D65)</f>
        <v/>
      </c>
      <c r="D85" s="5" t="str">
        <f>IF(Orders!$A65="","",Orders!$G65)</f>
        <v/>
      </c>
      <c r="E85" s="5" t="str">
        <f>IF(Orders!$A65="","",Orders!$K65)</f>
        <v/>
      </c>
      <c r="F85" s="5" t="str">
        <f>IF(Orders!$A65="","",Orders!$O65)</f>
        <v/>
      </c>
      <c r="G85" s="5" t="str">
        <f>IF(Orders!$A65="","",Orders!$P65)</f>
        <v/>
      </c>
      <c r="H85" t="str">
        <f>IF(Orders!$A65="","",Orders!$Q65)</f>
        <v/>
      </c>
    </row>
    <row r="86" spans="1:8">
      <c r="A86" t="str">
        <f>IF(Orders!$A66="","",Orders!$A66)</f>
        <v/>
      </c>
      <c r="B86" t="str">
        <f>IF(Orders!$A66="","",Orders!$B66)</f>
        <v/>
      </c>
      <c r="C86" t="str">
        <f>IF(Orders!$A66="","",Orders!$D66)</f>
        <v/>
      </c>
      <c r="D86" s="5" t="str">
        <f>IF(Orders!$A66="","",Orders!$G66)</f>
        <v/>
      </c>
      <c r="E86" s="5" t="str">
        <f>IF(Orders!$A66="","",Orders!$K66)</f>
        <v/>
      </c>
      <c r="F86" s="5" t="str">
        <f>IF(Orders!$A66="","",Orders!$O66)</f>
        <v/>
      </c>
      <c r="G86" s="5" t="str">
        <f>IF(Orders!$A66="","",Orders!$P66)</f>
        <v/>
      </c>
      <c r="H86" t="str">
        <f>IF(Orders!$A66="","",Orders!$Q66)</f>
        <v/>
      </c>
    </row>
    <row r="87" spans="1:8">
      <c r="A87" t="str">
        <f>IF(Orders!$A67="","",Orders!$A67)</f>
        <v/>
      </c>
      <c r="B87" t="str">
        <f>IF(Orders!$A67="","",Orders!$B67)</f>
        <v/>
      </c>
      <c r="C87" t="str">
        <f>IF(Orders!$A67="","",Orders!$D67)</f>
        <v/>
      </c>
      <c r="D87" s="5" t="str">
        <f>IF(Orders!$A67="","",Orders!$G67)</f>
        <v/>
      </c>
      <c r="E87" s="5" t="str">
        <f>IF(Orders!$A67="","",Orders!$K67)</f>
        <v/>
      </c>
      <c r="F87" s="5" t="str">
        <f>IF(Orders!$A67="","",Orders!$O67)</f>
        <v/>
      </c>
      <c r="G87" s="5" t="str">
        <f>IF(Orders!$A67="","",Orders!$P67)</f>
        <v/>
      </c>
      <c r="H87" t="str">
        <f>IF(Orders!$A67="","",Orders!$Q67)</f>
        <v/>
      </c>
    </row>
    <row r="88" spans="1:8">
      <c r="A88" t="str">
        <f>IF(Orders!$A68="","",Orders!$A68)</f>
        <v/>
      </c>
      <c r="B88" t="str">
        <f>IF(Orders!$A68="","",Orders!$B68)</f>
        <v/>
      </c>
      <c r="C88" t="str">
        <f>IF(Orders!$A68="","",Orders!$D68)</f>
        <v/>
      </c>
      <c r="D88" s="5" t="str">
        <f>IF(Orders!$A68="","",Orders!$G68)</f>
        <v/>
      </c>
      <c r="E88" s="5" t="str">
        <f>IF(Orders!$A68="","",Orders!$K68)</f>
        <v/>
      </c>
      <c r="F88" s="5" t="str">
        <f>IF(Orders!$A68="","",Orders!$O68)</f>
        <v/>
      </c>
      <c r="G88" s="5" t="str">
        <f>IF(Orders!$A68="","",Orders!$P68)</f>
        <v/>
      </c>
      <c r="H88" t="str">
        <f>IF(Orders!$A68="","",Orders!$Q68)</f>
        <v/>
      </c>
    </row>
    <row r="89" spans="1:8">
      <c r="A89" t="str">
        <f>IF(Orders!$A69="","",Orders!$A69)</f>
        <v/>
      </c>
      <c r="B89" t="str">
        <f>IF(Orders!$A69="","",Orders!$B69)</f>
        <v/>
      </c>
      <c r="C89" t="str">
        <f>IF(Orders!$A69="","",Orders!$D69)</f>
        <v/>
      </c>
      <c r="D89" s="5" t="str">
        <f>IF(Orders!$A69="","",Orders!$G69)</f>
        <v/>
      </c>
      <c r="E89" s="5" t="str">
        <f>IF(Orders!$A69="","",Orders!$K69)</f>
        <v/>
      </c>
      <c r="F89" s="5" t="str">
        <f>IF(Orders!$A69="","",Orders!$O69)</f>
        <v/>
      </c>
      <c r="G89" s="5" t="str">
        <f>IF(Orders!$A69="","",Orders!$P69)</f>
        <v/>
      </c>
      <c r="H89" t="str">
        <f>IF(Orders!$A69="","",Orders!$Q69)</f>
        <v/>
      </c>
    </row>
    <row r="90" spans="1:8">
      <c r="A90" t="str">
        <f>IF(Orders!$A70="","",Orders!$A70)</f>
        <v/>
      </c>
      <c r="B90" t="str">
        <f>IF(Orders!$A70="","",Orders!$B70)</f>
        <v/>
      </c>
      <c r="C90" t="str">
        <f>IF(Orders!$A70="","",Orders!$D70)</f>
        <v/>
      </c>
      <c r="D90" s="5" t="str">
        <f>IF(Orders!$A70="","",Orders!$G70)</f>
        <v/>
      </c>
      <c r="E90" s="5" t="str">
        <f>IF(Orders!$A70="","",Orders!$K70)</f>
        <v/>
      </c>
      <c r="F90" s="5" t="str">
        <f>IF(Orders!$A70="","",Orders!$O70)</f>
        <v/>
      </c>
      <c r="G90" s="5" t="str">
        <f>IF(Orders!$A70="","",Orders!$P70)</f>
        <v/>
      </c>
      <c r="H90" t="str">
        <f>IF(Orders!$A70="","",Orders!$Q70)</f>
        <v/>
      </c>
    </row>
    <row r="91" spans="1:8">
      <c r="A91" t="str">
        <f>IF(Orders!$A71="","",Orders!$A71)</f>
        <v/>
      </c>
      <c r="B91" t="str">
        <f>IF(Orders!$A71="","",Orders!$B71)</f>
        <v/>
      </c>
      <c r="C91" t="str">
        <f>IF(Orders!$A71="","",Orders!$D71)</f>
        <v/>
      </c>
      <c r="D91" s="5" t="str">
        <f>IF(Orders!$A71="","",Orders!$G71)</f>
        <v/>
      </c>
      <c r="E91" s="5" t="str">
        <f>IF(Orders!$A71="","",Orders!$K71)</f>
        <v/>
      </c>
      <c r="F91" s="5" t="str">
        <f>IF(Orders!$A71="","",Orders!$O71)</f>
        <v/>
      </c>
      <c r="G91" s="5" t="str">
        <f>IF(Orders!$A71="","",Orders!$P71)</f>
        <v/>
      </c>
      <c r="H91" t="str">
        <f>IF(Orders!$A71="","",Orders!$Q71)</f>
        <v/>
      </c>
    </row>
    <row r="92" spans="1:8">
      <c r="A92" t="str">
        <f>IF(Orders!$A72="","",Orders!$A72)</f>
        <v/>
      </c>
      <c r="B92" t="str">
        <f>IF(Orders!$A72="","",Orders!$B72)</f>
        <v/>
      </c>
      <c r="C92" t="str">
        <f>IF(Orders!$A72="","",Orders!$D72)</f>
        <v/>
      </c>
      <c r="D92" s="5" t="str">
        <f>IF(Orders!$A72="","",Orders!$G72)</f>
        <v/>
      </c>
      <c r="E92" s="5" t="str">
        <f>IF(Orders!$A72="","",Orders!$K72)</f>
        <v/>
      </c>
      <c r="F92" s="5" t="str">
        <f>IF(Orders!$A72="","",Orders!$O72)</f>
        <v/>
      </c>
      <c r="G92" s="5" t="str">
        <f>IF(Orders!$A72="","",Orders!$P72)</f>
        <v/>
      </c>
      <c r="H92" t="str">
        <f>IF(Orders!$A72="","",Orders!$Q72)</f>
        <v/>
      </c>
    </row>
    <row r="93" spans="1:8">
      <c r="A93" t="str">
        <f>IF(Orders!$A73="","",Orders!$A73)</f>
        <v/>
      </c>
      <c r="B93" t="str">
        <f>IF(Orders!$A73="","",Orders!$B73)</f>
        <v/>
      </c>
      <c r="C93" t="str">
        <f>IF(Orders!$A73="","",Orders!$D73)</f>
        <v/>
      </c>
      <c r="D93" s="5" t="str">
        <f>IF(Orders!$A73="","",Orders!$G73)</f>
        <v/>
      </c>
      <c r="E93" s="5" t="str">
        <f>IF(Orders!$A73="","",Orders!$K73)</f>
        <v/>
      </c>
      <c r="F93" s="5" t="str">
        <f>IF(Orders!$A73="","",Orders!$O73)</f>
        <v/>
      </c>
      <c r="G93" s="5" t="str">
        <f>IF(Orders!$A73="","",Orders!$P73)</f>
        <v/>
      </c>
      <c r="H93" t="str">
        <f>IF(Orders!$A73="","",Orders!$Q73)</f>
        <v/>
      </c>
    </row>
    <row r="94" spans="1:8">
      <c r="A94" t="str">
        <f>IF(Orders!$A74="","",Orders!$A74)</f>
        <v/>
      </c>
      <c r="B94" t="str">
        <f>IF(Orders!$A74="","",Orders!$B74)</f>
        <v/>
      </c>
      <c r="C94" t="str">
        <f>IF(Orders!$A74="","",Orders!$D74)</f>
        <v/>
      </c>
      <c r="D94" s="5" t="str">
        <f>IF(Orders!$A74="","",Orders!$G74)</f>
        <v/>
      </c>
      <c r="E94" s="5" t="str">
        <f>IF(Orders!$A74="","",Orders!$K74)</f>
        <v/>
      </c>
      <c r="F94" s="5" t="str">
        <f>IF(Orders!$A74="","",Orders!$O74)</f>
        <v/>
      </c>
      <c r="G94" s="5" t="str">
        <f>IF(Orders!$A74="","",Orders!$P74)</f>
        <v/>
      </c>
      <c r="H94" t="str">
        <f>IF(Orders!$A74="","",Orders!$Q74)</f>
        <v/>
      </c>
    </row>
    <row r="95" spans="1:8">
      <c r="A95" t="str">
        <f>IF(Orders!$A75="","",Orders!$A75)</f>
        <v/>
      </c>
      <c r="B95" t="str">
        <f>IF(Orders!$A75="","",Orders!$B75)</f>
        <v/>
      </c>
      <c r="C95" t="str">
        <f>IF(Orders!$A75="","",Orders!$D75)</f>
        <v/>
      </c>
      <c r="D95" s="5" t="str">
        <f>IF(Orders!$A75="","",Orders!$G75)</f>
        <v/>
      </c>
      <c r="E95" s="5" t="str">
        <f>IF(Orders!$A75="","",Orders!$K75)</f>
        <v/>
      </c>
      <c r="F95" s="5" t="str">
        <f>IF(Orders!$A75="","",Orders!$O75)</f>
        <v/>
      </c>
      <c r="G95" s="5" t="str">
        <f>IF(Orders!$A75="","",Orders!$P75)</f>
        <v/>
      </c>
      <c r="H95" t="str">
        <f>IF(Orders!$A75="","",Orders!$Q75)</f>
        <v/>
      </c>
    </row>
    <row r="96" spans="1:8">
      <c r="A96" t="str">
        <f>IF(Orders!$A76="","",Orders!$A76)</f>
        <v/>
      </c>
      <c r="B96" t="str">
        <f>IF(Orders!$A76="","",Orders!$B76)</f>
        <v/>
      </c>
      <c r="C96" t="str">
        <f>IF(Orders!$A76="","",Orders!$D76)</f>
        <v/>
      </c>
      <c r="D96" s="5" t="str">
        <f>IF(Orders!$A76="","",Orders!$G76)</f>
        <v/>
      </c>
      <c r="E96" s="5" t="str">
        <f>IF(Orders!$A76="","",Orders!$K76)</f>
        <v/>
      </c>
      <c r="F96" s="5" t="str">
        <f>IF(Orders!$A76="","",Orders!$O76)</f>
        <v/>
      </c>
      <c r="G96" s="5" t="str">
        <f>IF(Orders!$A76="","",Orders!$P76)</f>
        <v/>
      </c>
      <c r="H96" t="str">
        <f>IF(Orders!$A76="","",Orders!$Q76)</f>
        <v/>
      </c>
    </row>
    <row r="97" spans="1:8">
      <c r="A97" t="str">
        <f>IF(Orders!$A77="","",Orders!$A77)</f>
        <v/>
      </c>
      <c r="B97" t="str">
        <f>IF(Orders!$A77="","",Orders!$B77)</f>
        <v/>
      </c>
      <c r="C97" t="str">
        <f>IF(Orders!$A77="","",Orders!$D77)</f>
        <v/>
      </c>
      <c r="D97" s="5" t="str">
        <f>IF(Orders!$A77="","",Orders!$G77)</f>
        <v/>
      </c>
      <c r="E97" s="5" t="str">
        <f>IF(Orders!$A77="","",Orders!$K77)</f>
        <v/>
      </c>
      <c r="F97" s="5" t="str">
        <f>IF(Orders!$A77="","",Orders!$O77)</f>
        <v/>
      </c>
      <c r="G97" s="5" t="str">
        <f>IF(Orders!$A77="","",Orders!$P77)</f>
        <v/>
      </c>
      <c r="H97" t="str">
        <f>IF(Orders!$A77="","",Orders!$Q77)</f>
        <v/>
      </c>
    </row>
    <row r="98" spans="1:8">
      <c r="A98" t="str">
        <f>IF(Orders!$A78="","",Orders!$A78)</f>
        <v/>
      </c>
      <c r="B98" t="str">
        <f>IF(Orders!$A78="","",Orders!$B78)</f>
        <v/>
      </c>
      <c r="C98" t="str">
        <f>IF(Orders!$A78="","",Orders!$D78)</f>
        <v/>
      </c>
      <c r="D98" s="5" t="str">
        <f>IF(Orders!$A78="","",Orders!$G78)</f>
        <v/>
      </c>
      <c r="E98" s="5" t="str">
        <f>IF(Orders!$A78="","",Orders!$K78)</f>
        <v/>
      </c>
      <c r="F98" s="5" t="str">
        <f>IF(Orders!$A78="","",Orders!$O78)</f>
        <v/>
      </c>
      <c r="G98" s="5" t="str">
        <f>IF(Orders!$A78="","",Orders!$P78)</f>
        <v/>
      </c>
      <c r="H98" t="str">
        <f>IF(Orders!$A78="","",Orders!$Q78)</f>
        <v/>
      </c>
    </row>
    <row r="99" spans="1:8">
      <c r="A99" t="str">
        <f>IF(Orders!$A79="","",Orders!$A79)</f>
        <v/>
      </c>
      <c r="B99" t="str">
        <f>IF(Orders!$A79="","",Orders!$B79)</f>
        <v/>
      </c>
      <c r="C99" t="str">
        <f>IF(Orders!$A79="","",Orders!$D79)</f>
        <v/>
      </c>
      <c r="D99" s="5" t="str">
        <f>IF(Orders!$A79="","",Orders!$G79)</f>
        <v/>
      </c>
      <c r="E99" s="5" t="str">
        <f>IF(Orders!$A79="","",Orders!$K79)</f>
        <v/>
      </c>
      <c r="F99" s="5" t="str">
        <f>IF(Orders!$A79="","",Orders!$O79)</f>
        <v/>
      </c>
      <c r="G99" s="5" t="str">
        <f>IF(Orders!$A79="","",Orders!$P79)</f>
        <v/>
      </c>
      <c r="H99" t="str">
        <f>IF(Orders!$A79="","",Orders!$Q79)</f>
        <v/>
      </c>
    </row>
    <row r="100" spans="1:8">
      <c r="A100" t="str">
        <f>IF(Orders!$A80="","",Orders!$A80)</f>
        <v/>
      </c>
      <c r="B100" t="str">
        <f>IF(Orders!$A80="","",Orders!$B80)</f>
        <v/>
      </c>
      <c r="C100" t="str">
        <f>IF(Orders!$A80="","",Orders!$D80)</f>
        <v/>
      </c>
      <c r="D100" s="5" t="str">
        <f>IF(Orders!$A80="","",Orders!$G80)</f>
        <v/>
      </c>
      <c r="E100" s="5" t="str">
        <f>IF(Orders!$A80="","",Orders!$K80)</f>
        <v/>
      </c>
      <c r="F100" s="5" t="str">
        <f>IF(Orders!$A80="","",Orders!$O80)</f>
        <v/>
      </c>
      <c r="G100" s="5" t="str">
        <f>IF(Orders!$A80="","",Orders!$P80)</f>
        <v/>
      </c>
      <c r="H100" t="str">
        <f>IF(Orders!$A80="","",Orders!$Q80)</f>
        <v/>
      </c>
    </row>
    <row r="101" spans="1:8">
      <c r="A101" t="str">
        <f>IF(Orders!$A81="","",Orders!$A81)</f>
        <v/>
      </c>
      <c r="B101" t="str">
        <f>IF(Orders!$A81="","",Orders!$B81)</f>
        <v/>
      </c>
      <c r="C101" t="str">
        <f>IF(Orders!$A81="","",Orders!$D81)</f>
        <v/>
      </c>
      <c r="D101" s="5" t="str">
        <f>IF(Orders!$A81="","",Orders!$G81)</f>
        <v/>
      </c>
      <c r="E101" s="5" t="str">
        <f>IF(Orders!$A81="","",Orders!$K81)</f>
        <v/>
      </c>
      <c r="F101" s="5" t="str">
        <f>IF(Orders!$A81="","",Orders!$O81)</f>
        <v/>
      </c>
      <c r="G101" s="5" t="str">
        <f>IF(Orders!$A81="","",Orders!$P81)</f>
        <v/>
      </c>
      <c r="H101" t="str">
        <f>IF(Orders!$A81="","",Orders!$Q81)</f>
        <v/>
      </c>
    </row>
    <row r="102" spans="1:8">
      <c r="A102" t="str">
        <f>IF(Orders!$A82="","",Orders!$A82)</f>
        <v/>
      </c>
      <c r="B102" t="str">
        <f>IF(Orders!$A82="","",Orders!$B82)</f>
        <v/>
      </c>
      <c r="C102" t="str">
        <f>IF(Orders!$A82="","",Orders!$D82)</f>
        <v/>
      </c>
      <c r="D102" s="5" t="str">
        <f>IF(Orders!$A82="","",Orders!$G82)</f>
        <v/>
      </c>
      <c r="E102" s="5" t="str">
        <f>IF(Orders!$A82="","",Orders!$K82)</f>
        <v/>
      </c>
      <c r="F102" s="5" t="str">
        <f>IF(Orders!$A82="","",Orders!$O82)</f>
        <v/>
      </c>
      <c r="G102" s="5" t="str">
        <f>IF(Orders!$A82="","",Orders!$P82)</f>
        <v/>
      </c>
      <c r="H102" t="str">
        <f>IF(Orders!$A82="","",Orders!$Q82)</f>
        <v/>
      </c>
    </row>
    <row r="103" spans="1:8">
      <c r="A103" t="str">
        <f>IF(Orders!$A83="","",Orders!$A83)</f>
        <v/>
      </c>
      <c r="B103" t="str">
        <f>IF(Orders!$A83="","",Orders!$B83)</f>
        <v/>
      </c>
      <c r="C103" t="str">
        <f>IF(Orders!$A83="","",Orders!$D83)</f>
        <v/>
      </c>
      <c r="D103" s="5" t="str">
        <f>IF(Orders!$A83="","",Orders!$G83)</f>
        <v/>
      </c>
      <c r="E103" s="5" t="str">
        <f>IF(Orders!$A83="","",Orders!$K83)</f>
        <v/>
      </c>
      <c r="F103" s="5" t="str">
        <f>IF(Orders!$A83="","",Orders!$O83)</f>
        <v/>
      </c>
      <c r="G103" s="5" t="str">
        <f>IF(Orders!$A83="","",Orders!$P83)</f>
        <v/>
      </c>
      <c r="H103" t="str">
        <f>IF(Orders!$A83="","",Orders!$Q83)</f>
        <v/>
      </c>
    </row>
    <row r="104" spans="1:8">
      <c r="A104" t="str">
        <f>IF(Orders!$A84="","",Orders!$A84)</f>
        <v/>
      </c>
      <c r="B104" t="str">
        <f>IF(Orders!$A84="","",Orders!$B84)</f>
        <v/>
      </c>
      <c r="C104" t="str">
        <f>IF(Orders!$A84="","",Orders!$D84)</f>
        <v/>
      </c>
      <c r="D104" s="5" t="str">
        <f>IF(Orders!$A84="","",Orders!$G84)</f>
        <v/>
      </c>
      <c r="E104" s="5" t="str">
        <f>IF(Orders!$A84="","",Orders!$K84)</f>
        <v/>
      </c>
      <c r="F104" s="5" t="str">
        <f>IF(Orders!$A84="","",Orders!$O84)</f>
        <v/>
      </c>
      <c r="G104" s="5" t="str">
        <f>IF(Orders!$A84="","",Orders!$P84)</f>
        <v/>
      </c>
      <c r="H104" t="str">
        <f>IF(Orders!$A84="","",Orders!$Q84)</f>
        <v/>
      </c>
    </row>
    <row r="105" spans="1:8">
      <c r="A105" t="str">
        <f>IF(Orders!$A85="","",Orders!$A85)</f>
        <v/>
      </c>
      <c r="B105" t="str">
        <f>IF(Orders!$A85="","",Orders!$B85)</f>
        <v/>
      </c>
      <c r="C105" t="str">
        <f>IF(Orders!$A85="","",Orders!$D85)</f>
        <v/>
      </c>
      <c r="D105" s="5" t="str">
        <f>IF(Orders!$A85="","",Orders!$G85)</f>
        <v/>
      </c>
      <c r="E105" s="5" t="str">
        <f>IF(Orders!$A85="","",Orders!$K85)</f>
        <v/>
      </c>
      <c r="F105" s="5" t="str">
        <f>IF(Orders!$A85="","",Orders!$O85)</f>
        <v/>
      </c>
      <c r="G105" s="5" t="str">
        <f>IF(Orders!$A85="","",Orders!$P85)</f>
        <v/>
      </c>
      <c r="H105" t="str">
        <f>IF(Orders!$A85="","",Orders!$Q85)</f>
        <v/>
      </c>
    </row>
    <row r="106" spans="1:8">
      <c r="A106" t="str">
        <f>IF(Orders!$A86="","",Orders!$A86)</f>
        <v/>
      </c>
      <c r="B106" t="str">
        <f>IF(Orders!$A86="","",Orders!$B86)</f>
        <v/>
      </c>
      <c r="C106" t="str">
        <f>IF(Orders!$A86="","",Orders!$D86)</f>
        <v/>
      </c>
      <c r="D106" s="5" t="str">
        <f>IF(Orders!$A86="","",Orders!$G86)</f>
        <v/>
      </c>
      <c r="E106" s="5" t="str">
        <f>IF(Orders!$A86="","",Orders!$K86)</f>
        <v/>
      </c>
      <c r="F106" s="5" t="str">
        <f>IF(Orders!$A86="","",Orders!$O86)</f>
        <v/>
      </c>
      <c r="G106" s="5" t="str">
        <f>IF(Orders!$A86="","",Orders!$P86)</f>
        <v/>
      </c>
      <c r="H106" t="str">
        <f>IF(Orders!$A86="","",Orders!$Q86)</f>
        <v/>
      </c>
    </row>
    <row r="107" spans="1:8">
      <c r="A107" t="str">
        <f>IF(Orders!$A87="","",Orders!$A87)</f>
        <v/>
      </c>
      <c r="B107" t="str">
        <f>IF(Orders!$A87="","",Orders!$B87)</f>
        <v/>
      </c>
      <c r="C107" t="str">
        <f>IF(Orders!$A87="","",Orders!$D87)</f>
        <v/>
      </c>
      <c r="D107" s="5" t="str">
        <f>IF(Orders!$A87="","",Orders!$G87)</f>
        <v/>
      </c>
      <c r="E107" s="5" t="str">
        <f>IF(Orders!$A87="","",Orders!$K87)</f>
        <v/>
      </c>
      <c r="F107" s="5" t="str">
        <f>IF(Orders!$A87="","",Orders!$O87)</f>
        <v/>
      </c>
      <c r="G107" s="5" t="str">
        <f>IF(Orders!$A87="","",Orders!$P87)</f>
        <v/>
      </c>
      <c r="H107" t="str">
        <f>IF(Orders!$A87="","",Orders!$Q87)</f>
        <v/>
      </c>
    </row>
    <row r="108" spans="1:8">
      <c r="A108" t="str">
        <f>IF(Orders!$A88="","",Orders!$A88)</f>
        <v/>
      </c>
      <c r="B108" t="str">
        <f>IF(Orders!$A88="","",Orders!$B88)</f>
        <v/>
      </c>
      <c r="C108" t="str">
        <f>IF(Orders!$A88="","",Orders!$D88)</f>
        <v/>
      </c>
      <c r="D108" s="5" t="str">
        <f>IF(Orders!$A88="","",Orders!$G88)</f>
        <v/>
      </c>
      <c r="E108" s="5" t="str">
        <f>IF(Orders!$A88="","",Orders!$K88)</f>
        <v/>
      </c>
      <c r="F108" s="5" t="str">
        <f>IF(Orders!$A88="","",Orders!$O88)</f>
        <v/>
      </c>
      <c r="G108" s="5" t="str">
        <f>IF(Orders!$A88="","",Orders!$P88)</f>
        <v/>
      </c>
      <c r="H108" t="str">
        <f>IF(Orders!$A88="","",Orders!$Q88)</f>
        <v/>
      </c>
    </row>
    <row r="109" spans="1:8">
      <c r="A109" t="str">
        <f>IF(Orders!$A89="","",Orders!$A89)</f>
        <v/>
      </c>
      <c r="B109" t="str">
        <f>IF(Orders!$A89="","",Orders!$B89)</f>
        <v/>
      </c>
      <c r="C109" t="str">
        <f>IF(Orders!$A89="","",Orders!$D89)</f>
        <v/>
      </c>
      <c r="D109" s="5" t="str">
        <f>IF(Orders!$A89="","",Orders!$G89)</f>
        <v/>
      </c>
      <c r="E109" s="5" t="str">
        <f>IF(Orders!$A89="","",Orders!$K89)</f>
        <v/>
      </c>
      <c r="F109" s="5" t="str">
        <f>IF(Orders!$A89="","",Orders!$O89)</f>
        <v/>
      </c>
      <c r="G109" s="5" t="str">
        <f>IF(Orders!$A89="","",Orders!$P89)</f>
        <v/>
      </c>
      <c r="H109" t="str">
        <f>IF(Orders!$A89="","",Orders!$Q89)</f>
        <v/>
      </c>
    </row>
    <row r="110" spans="1:8">
      <c r="A110" t="str">
        <f>IF(Orders!$A90="","",Orders!$A90)</f>
        <v/>
      </c>
      <c r="B110" t="str">
        <f>IF(Orders!$A90="","",Orders!$B90)</f>
        <v/>
      </c>
      <c r="C110" t="str">
        <f>IF(Orders!$A90="","",Orders!$D90)</f>
        <v/>
      </c>
      <c r="D110" s="5" t="str">
        <f>IF(Orders!$A90="","",Orders!$G90)</f>
        <v/>
      </c>
      <c r="E110" s="5" t="str">
        <f>IF(Orders!$A90="","",Orders!$K90)</f>
        <v/>
      </c>
      <c r="F110" s="5" t="str">
        <f>IF(Orders!$A90="","",Orders!$O90)</f>
        <v/>
      </c>
      <c r="G110" s="5" t="str">
        <f>IF(Orders!$A90="","",Orders!$P90)</f>
        <v/>
      </c>
      <c r="H110" t="str">
        <f>IF(Orders!$A90="","",Orders!$Q90)</f>
        <v/>
      </c>
    </row>
    <row r="111" spans="1:8">
      <c r="A111" t="str">
        <f>IF(Orders!$A91="","",Orders!$A91)</f>
        <v/>
      </c>
      <c r="B111" t="str">
        <f>IF(Orders!$A91="","",Orders!$B91)</f>
        <v/>
      </c>
      <c r="C111" t="str">
        <f>IF(Orders!$A91="","",Orders!$D91)</f>
        <v/>
      </c>
      <c r="D111" s="5" t="str">
        <f>IF(Orders!$A91="","",Orders!$G91)</f>
        <v/>
      </c>
      <c r="E111" s="5" t="str">
        <f>IF(Orders!$A91="","",Orders!$K91)</f>
        <v/>
      </c>
      <c r="F111" s="5" t="str">
        <f>IF(Orders!$A91="","",Orders!$O91)</f>
        <v/>
      </c>
      <c r="G111" s="5" t="str">
        <f>IF(Orders!$A91="","",Orders!$P91)</f>
        <v/>
      </c>
      <c r="H111" t="str">
        <f>IF(Orders!$A91="","",Orders!$Q91)</f>
        <v/>
      </c>
    </row>
    <row r="112" spans="1:8">
      <c r="A112" t="str">
        <f>IF(Orders!$A92="","",Orders!$A92)</f>
        <v/>
      </c>
      <c r="B112" t="str">
        <f>IF(Orders!$A92="","",Orders!$B92)</f>
        <v/>
      </c>
      <c r="C112" t="str">
        <f>IF(Orders!$A92="","",Orders!$D92)</f>
        <v/>
      </c>
      <c r="D112" s="5" t="str">
        <f>IF(Orders!$A92="","",Orders!$G92)</f>
        <v/>
      </c>
      <c r="E112" s="5" t="str">
        <f>IF(Orders!$A92="","",Orders!$K92)</f>
        <v/>
      </c>
      <c r="F112" s="5" t="str">
        <f>IF(Orders!$A92="","",Orders!$O92)</f>
        <v/>
      </c>
      <c r="G112" s="5" t="str">
        <f>IF(Orders!$A92="","",Orders!$P92)</f>
        <v/>
      </c>
      <c r="H112" t="str">
        <f>IF(Orders!$A92="","",Orders!$Q92)</f>
        <v/>
      </c>
    </row>
    <row r="113" spans="1:8">
      <c r="A113" t="str">
        <f>IF(Orders!$A93="","",Orders!$A93)</f>
        <v/>
      </c>
      <c r="B113" t="str">
        <f>IF(Orders!$A93="","",Orders!$B93)</f>
        <v/>
      </c>
      <c r="C113" t="str">
        <f>IF(Orders!$A93="","",Orders!$D93)</f>
        <v/>
      </c>
      <c r="D113" s="5" t="str">
        <f>IF(Orders!$A93="","",Orders!$G93)</f>
        <v/>
      </c>
      <c r="E113" s="5" t="str">
        <f>IF(Orders!$A93="","",Orders!$K93)</f>
        <v/>
      </c>
      <c r="F113" s="5" t="str">
        <f>IF(Orders!$A93="","",Orders!$O93)</f>
        <v/>
      </c>
      <c r="G113" s="5" t="str">
        <f>IF(Orders!$A93="","",Orders!$P93)</f>
        <v/>
      </c>
      <c r="H113" t="str">
        <f>IF(Orders!$A93="","",Orders!$Q93)</f>
        <v/>
      </c>
    </row>
    <row r="114" spans="1:8">
      <c r="A114" t="str">
        <f>IF(Orders!$A94="","",Orders!$A94)</f>
        <v/>
      </c>
      <c r="B114" t="str">
        <f>IF(Orders!$A94="","",Orders!$B94)</f>
        <v/>
      </c>
      <c r="C114" t="str">
        <f>IF(Orders!$A94="","",Orders!$D94)</f>
        <v/>
      </c>
      <c r="D114" s="5" t="str">
        <f>IF(Orders!$A94="","",Orders!$G94)</f>
        <v/>
      </c>
      <c r="E114" s="5" t="str">
        <f>IF(Orders!$A94="","",Orders!$K94)</f>
        <v/>
      </c>
      <c r="F114" s="5" t="str">
        <f>IF(Orders!$A94="","",Orders!$O94)</f>
        <v/>
      </c>
      <c r="G114" s="5" t="str">
        <f>IF(Orders!$A94="","",Orders!$P94)</f>
        <v/>
      </c>
      <c r="H114" t="str">
        <f>IF(Orders!$A94="","",Orders!$Q94)</f>
        <v/>
      </c>
    </row>
    <row r="115" spans="1:8">
      <c r="A115" t="str">
        <f>IF(Orders!$A95="","",Orders!$A95)</f>
        <v/>
      </c>
      <c r="B115" t="str">
        <f>IF(Orders!$A95="","",Orders!$B95)</f>
        <v/>
      </c>
      <c r="C115" t="str">
        <f>IF(Orders!$A95="","",Orders!$D95)</f>
        <v/>
      </c>
      <c r="D115" s="5" t="str">
        <f>IF(Orders!$A95="","",Orders!$G95)</f>
        <v/>
      </c>
      <c r="E115" s="5" t="str">
        <f>IF(Orders!$A95="","",Orders!$K95)</f>
        <v/>
      </c>
      <c r="F115" s="5" t="str">
        <f>IF(Orders!$A95="","",Orders!$O95)</f>
        <v/>
      </c>
      <c r="G115" s="5" t="str">
        <f>IF(Orders!$A95="","",Orders!$P95)</f>
        <v/>
      </c>
      <c r="H115" t="str">
        <f>IF(Orders!$A95="","",Orders!$Q95)</f>
        <v/>
      </c>
    </row>
    <row r="116" spans="1:8">
      <c r="A116" t="str">
        <f>IF(Orders!$A96="","",Orders!$A96)</f>
        <v/>
      </c>
      <c r="B116" t="str">
        <f>IF(Orders!$A96="","",Orders!$B96)</f>
        <v/>
      </c>
      <c r="C116" t="str">
        <f>IF(Orders!$A96="","",Orders!$D96)</f>
        <v/>
      </c>
      <c r="D116" s="5" t="str">
        <f>IF(Orders!$A96="","",Orders!$G96)</f>
        <v/>
      </c>
      <c r="E116" s="5" t="str">
        <f>IF(Orders!$A96="","",Orders!$K96)</f>
        <v/>
      </c>
      <c r="F116" s="5" t="str">
        <f>IF(Orders!$A96="","",Orders!$O96)</f>
        <v/>
      </c>
      <c r="G116" s="5" t="str">
        <f>IF(Orders!$A96="","",Orders!$P96)</f>
        <v/>
      </c>
      <c r="H116" t="str">
        <f>IF(Orders!$A96="","",Orders!$Q96)</f>
        <v/>
      </c>
    </row>
    <row r="117" spans="1:8">
      <c r="A117" t="str">
        <f>IF(Orders!$A97="","",Orders!$A97)</f>
        <v/>
      </c>
      <c r="B117" t="str">
        <f>IF(Orders!$A97="","",Orders!$B97)</f>
        <v/>
      </c>
      <c r="C117" t="str">
        <f>IF(Orders!$A97="","",Orders!$D97)</f>
        <v/>
      </c>
      <c r="D117" s="5" t="str">
        <f>IF(Orders!$A97="","",Orders!$G97)</f>
        <v/>
      </c>
      <c r="E117" s="5" t="str">
        <f>IF(Orders!$A97="","",Orders!$K97)</f>
        <v/>
      </c>
      <c r="F117" s="5" t="str">
        <f>IF(Orders!$A97="","",Orders!$O97)</f>
        <v/>
      </c>
      <c r="G117" s="5" t="str">
        <f>IF(Orders!$A97="","",Orders!$P97)</f>
        <v/>
      </c>
      <c r="H117" t="str">
        <f>IF(Orders!$A97="","",Orders!$Q97)</f>
        <v/>
      </c>
    </row>
    <row r="118" spans="1:8">
      <c r="A118" t="str">
        <f>IF(Orders!$A98="","",Orders!$A98)</f>
        <v/>
      </c>
      <c r="B118" t="str">
        <f>IF(Orders!$A98="","",Orders!$B98)</f>
        <v/>
      </c>
      <c r="C118" t="str">
        <f>IF(Orders!$A98="","",Orders!$D98)</f>
        <v/>
      </c>
      <c r="D118" s="5" t="str">
        <f>IF(Orders!$A98="","",Orders!$G98)</f>
        <v/>
      </c>
      <c r="E118" s="5" t="str">
        <f>IF(Orders!$A98="","",Orders!$K98)</f>
        <v/>
      </c>
      <c r="F118" s="5" t="str">
        <f>IF(Orders!$A98="","",Orders!$O98)</f>
        <v/>
      </c>
      <c r="G118" s="5" t="str">
        <f>IF(Orders!$A98="","",Orders!$P98)</f>
        <v/>
      </c>
      <c r="H118" t="str">
        <f>IF(Orders!$A98="","",Orders!$Q98)</f>
        <v/>
      </c>
    </row>
    <row r="119" spans="1:8">
      <c r="A119" t="str">
        <f>IF(Orders!$A99="","",Orders!$A99)</f>
        <v/>
      </c>
      <c r="B119" t="str">
        <f>IF(Orders!$A99="","",Orders!$B99)</f>
        <v/>
      </c>
      <c r="C119" t="str">
        <f>IF(Orders!$A99="","",Orders!$D99)</f>
        <v/>
      </c>
      <c r="D119" s="5" t="str">
        <f>IF(Orders!$A99="","",Orders!$G99)</f>
        <v/>
      </c>
      <c r="E119" s="5" t="str">
        <f>IF(Orders!$A99="","",Orders!$K99)</f>
        <v/>
      </c>
      <c r="F119" s="5" t="str">
        <f>IF(Orders!$A99="","",Orders!$O99)</f>
        <v/>
      </c>
      <c r="G119" s="5" t="str">
        <f>IF(Orders!$A99="","",Orders!$P99)</f>
        <v/>
      </c>
      <c r="H119" t="str">
        <f>IF(Orders!$A99="","",Orders!$Q99)</f>
        <v/>
      </c>
    </row>
    <row r="120" spans="1:8">
      <c r="A120" t="str">
        <f>IF(Orders!$A100="","",Orders!$A100)</f>
        <v/>
      </c>
      <c r="B120" t="str">
        <f>IF(Orders!$A100="","",Orders!$B100)</f>
        <v/>
      </c>
      <c r="C120" t="str">
        <f>IF(Orders!$A100="","",Orders!$D100)</f>
        <v/>
      </c>
      <c r="D120" s="5" t="str">
        <f>IF(Orders!$A100="","",Orders!$G100)</f>
        <v/>
      </c>
      <c r="E120" s="5" t="str">
        <f>IF(Orders!$A100="","",Orders!$K100)</f>
        <v/>
      </c>
      <c r="F120" s="5" t="str">
        <f>IF(Orders!$A100="","",Orders!$O100)</f>
        <v/>
      </c>
      <c r="G120" s="5" t="str">
        <f>IF(Orders!$A100="","",Orders!$P100)</f>
        <v/>
      </c>
      <c r="H120" t="str">
        <f>IF(Orders!$A100="","",Orders!$Q100)</f>
        <v/>
      </c>
    </row>
    <row r="121" spans="1:8">
      <c r="A121" t="str">
        <f>IF(Orders!$A101="","",Orders!$A101)</f>
        <v/>
      </c>
      <c r="B121" t="str">
        <f>IF(Orders!$A101="","",Orders!$B101)</f>
        <v/>
      </c>
      <c r="C121" t="str">
        <f>IF(Orders!$A101="","",Orders!$D101)</f>
        <v/>
      </c>
      <c r="D121" s="5" t="str">
        <f>IF(Orders!$A101="","",Orders!$G101)</f>
        <v/>
      </c>
      <c r="E121" s="5" t="str">
        <f>IF(Orders!$A101="","",Orders!$K101)</f>
        <v/>
      </c>
      <c r="F121" s="5" t="str">
        <f>IF(Orders!$A101="","",Orders!$O101)</f>
        <v/>
      </c>
      <c r="G121" s="5" t="str">
        <f>IF(Orders!$A101="","",Orders!$P101)</f>
        <v/>
      </c>
      <c r="H121" t="str">
        <f>IF(Orders!$A101="","",Orders!$Q101)</f>
        <v/>
      </c>
    </row>
  </sheetData>
  <mergeCells count="2">
    <mergeCell ref="A1:H1"/>
    <mergeCell ref="A20:H20"/>
  </mergeCells>
  <conditionalFormatting sqref="F4:F16">
    <cfRule type="dataBar" priority="1">
      <dataBar>
        <cfvo type="min"/>
        <cfvo type="max"/>
        <color rgb="FF1D4ED8"/>
      </dataBar>
    </cfRule>
    <cfRule type="dataBar" priority="2">
      <dataBar>
        <cfvo type="min"/>
        <cfvo type="max"/>
        <color rgb="FF1D4ED8"/>
      </dataBar>
      <extLst>
        <ext xmlns:x14="http://schemas.microsoft.com/office/spreadsheetml/2009/9/main" uri="{B025F937-C7B1-47D3-B67F-A62EFF666E3E}">
          <x14:id>{52F6E1D5-0F01-FEAA-A61A-AB4A90EC478E}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F6E1D5-0F01-FEAA-A61A-AB4A90EC478E}">
            <x14:dataBar>
              <x14:cfvo type="min"/>
              <x14:cfvo type="max"/>
              <x14:negativeFillColor auto="1"/>
              <x14:axisColor auto="1"/>
            </x14:dataBar>
          </x14:cfRule>
          <xm:sqref>F4:F16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0"/>
  <sheetViews>
    <sheetView workbookViewId="0"/>
  </sheetViews>
  <sheetFormatPr defaultColWidth="8.875" defaultRowHeight="14.1"/>
  <cols>
    <col min="1" max="1" width="14" customWidth="1"/>
    <col min="2" max="2" width="16" customWidth="1"/>
    <col min="3" max="3" width="20" customWidth="1"/>
    <col min="4" max="4" width="16" customWidth="1"/>
    <col min="5" max="5" width="14" customWidth="1"/>
    <col min="6" max="6" width="10" customWidth="1"/>
    <col min="7" max="7" width="18" customWidth="1"/>
    <col min="8" max="9" width="20" customWidth="1"/>
    <col min="10" max="10" width="18" customWidth="1"/>
    <col min="11" max="11" width="30" customWidth="1"/>
  </cols>
  <sheetData>
    <row r="1" spans="1:11" ht="37.35" customHeight="1">
      <c r="A1" s="1" t="s">
        <v>95</v>
      </c>
      <c r="B1" s="1" t="s">
        <v>53</v>
      </c>
      <c r="C1" s="1" t="s">
        <v>54</v>
      </c>
      <c r="D1" s="1" t="s">
        <v>56</v>
      </c>
      <c r="E1" s="1" t="s">
        <v>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77</v>
      </c>
    </row>
    <row r="2" spans="1:11">
      <c r="A2" s="4"/>
      <c r="C2" t="str">
        <f>IF($B2="","",IFERROR(INDEX(Orders!$B:$B,MATCH($B2,Orders!$A:$A,0)),""))</f>
        <v/>
      </c>
      <c r="D2" t="str">
        <f>IF($B2="","",IFERROR(INDEX(Orders!$D:$D,MATCH($B2,Orders!$A:$A,0)),""))</f>
        <v/>
      </c>
      <c r="E2" s="5"/>
      <c r="F2" s="5"/>
    </row>
    <row r="3" spans="1:11">
      <c r="A3" s="4"/>
      <c r="C3" t="str">
        <f>IF($B3="","",IFERROR(INDEX(Orders!$B:$B,MATCH($B3,Orders!$A:$A,0)),""))</f>
        <v/>
      </c>
      <c r="D3" t="str">
        <f>IF($B3="","",IFERROR(INDEX(Orders!$D:$D,MATCH($B3,Orders!$A:$A,0)),""))</f>
        <v/>
      </c>
      <c r="E3" s="5"/>
      <c r="F3" s="5"/>
    </row>
    <row r="4" spans="1:11">
      <c r="A4" s="4"/>
      <c r="C4" t="str">
        <f>IF($B4="","",IFERROR(INDEX(Orders!$B:$B,MATCH($B4,Orders!$A:$A,0)),""))</f>
        <v/>
      </c>
      <c r="D4" t="str">
        <f>IF($B4="","",IFERROR(INDEX(Orders!$D:$D,MATCH($B4,Orders!$A:$A,0)),""))</f>
        <v/>
      </c>
      <c r="E4" s="5"/>
      <c r="F4" s="5"/>
    </row>
    <row r="5" spans="1:11">
      <c r="A5" s="4"/>
      <c r="C5" t="str">
        <f>IF($B5="","",IFERROR(INDEX(Orders!$B:$B,MATCH($B5,Orders!$A:$A,0)),""))</f>
        <v/>
      </c>
      <c r="D5" t="str">
        <f>IF($B5="","",IFERROR(INDEX(Orders!$D:$D,MATCH($B5,Orders!$A:$A,0)),""))</f>
        <v/>
      </c>
      <c r="E5" s="5"/>
      <c r="F5" s="5"/>
    </row>
    <row r="6" spans="1:11">
      <c r="A6" s="4"/>
      <c r="C6" t="str">
        <f>IF($B6="","",IFERROR(INDEX(Orders!$B:$B,MATCH($B6,Orders!$A:$A,0)),""))</f>
        <v/>
      </c>
      <c r="D6" t="str">
        <f>IF($B6="","",IFERROR(INDEX(Orders!$D:$D,MATCH($B6,Orders!$A:$A,0)),""))</f>
        <v/>
      </c>
      <c r="E6" s="5"/>
      <c r="F6" s="5"/>
    </row>
    <row r="7" spans="1:11">
      <c r="A7" s="4"/>
      <c r="C7" t="str">
        <f>IF($B7="","",IFERROR(INDEX(Orders!$B:$B,MATCH($B7,Orders!$A:$A,0)),""))</f>
        <v/>
      </c>
      <c r="D7" t="str">
        <f>IF($B7="","",IFERROR(INDEX(Orders!$D:$D,MATCH($B7,Orders!$A:$A,0)),""))</f>
        <v/>
      </c>
      <c r="E7" s="5"/>
      <c r="F7" s="5"/>
    </row>
    <row r="8" spans="1:11">
      <c r="A8" s="4"/>
      <c r="C8" t="str">
        <f>IF($B8="","",IFERROR(INDEX(Orders!$B:$B,MATCH($B8,Orders!$A:$A,0)),""))</f>
        <v/>
      </c>
      <c r="D8" t="str">
        <f>IF($B8="","",IFERROR(INDEX(Orders!$D:$D,MATCH($B8,Orders!$A:$A,0)),""))</f>
        <v/>
      </c>
      <c r="E8" s="5"/>
      <c r="F8" s="5"/>
    </row>
    <row r="9" spans="1:11">
      <c r="A9" s="4"/>
      <c r="C9" t="str">
        <f>IF($B9="","",IFERROR(INDEX(Orders!$B:$B,MATCH($B9,Orders!$A:$A,0)),""))</f>
        <v/>
      </c>
      <c r="D9" t="str">
        <f>IF($B9="","",IFERROR(INDEX(Orders!$D:$D,MATCH($B9,Orders!$A:$A,0)),""))</f>
        <v/>
      </c>
      <c r="E9" s="5"/>
      <c r="F9" s="5"/>
    </row>
    <row r="10" spans="1:11">
      <c r="A10" s="4"/>
      <c r="C10" t="str">
        <f>IF($B10="","",IFERROR(INDEX(Orders!$B:$B,MATCH($B10,Orders!$A:$A,0)),""))</f>
        <v/>
      </c>
      <c r="D10" t="str">
        <f>IF($B10="","",IFERROR(INDEX(Orders!$D:$D,MATCH($B10,Orders!$A:$A,0)),""))</f>
        <v/>
      </c>
      <c r="E10" s="5"/>
      <c r="F10" s="5"/>
    </row>
    <row r="11" spans="1:11">
      <c r="A11" s="4"/>
      <c r="C11" t="str">
        <f>IF($B11="","",IFERROR(INDEX(Orders!$B:$B,MATCH($B11,Orders!$A:$A,0)),""))</f>
        <v/>
      </c>
      <c r="D11" t="str">
        <f>IF($B11="","",IFERROR(INDEX(Orders!$D:$D,MATCH($B11,Orders!$A:$A,0)),""))</f>
        <v/>
      </c>
      <c r="E11" s="5"/>
      <c r="F11" s="5"/>
    </row>
    <row r="12" spans="1:11">
      <c r="A12" s="4"/>
      <c r="C12" t="str">
        <f>IF($B12="","",IFERROR(INDEX(Orders!$B:$B,MATCH($B12,Orders!$A:$A,0)),""))</f>
        <v/>
      </c>
      <c r="D12" t="str">
        <f>IF($B12="","",IFERROR(INDEX(Orders!$D:$D,MATCH($B12,Orders!$A:$A,0)),""))</f>
        <v/>
      </c>
      <c r="E12" s="5"/>
      <c r="F12" s="5"/>
    </row>
    <row r="13" spans="1:11">
      <c r="A13" s="4"/>
      <c r="C13" t="str">
        <f>IF($B13="","",IFERROR(INDEX(Orders!$B:$B,MATCH($B13,Orders!$A:$A,0)),""))</f>
        <v/>
      </c>
      <c r="D13" t="str">
        <f>IF($B13="","",IFERROR(INDEX(Orders!$D:$D,MATCH($B13,Orders!$A:$A,0)),""))</f>
        <v/>
      </c>
      <c r="E13" s="5"/>
      <c r="F13" s="5"/>
    </row>
    <row r="14" spans="1:11">
      <c r="A14" s="4"/>
      <c r="C14" t="str">
        <f>IF($B14="","",IFERROR(INDEX(Orders!$B:$B,MATCH($B14,Orders!$A:$A,0)),""))</f>
        <v/>
      </c>
      <c r="D14" t="str">
        <f>IF($B14="","",IFERROR(INDEX(Orders!$D:$D,MATCH($B14,Orders!$A:$A,0)),""))</f>
        <v/>
      </c>
      <c r="E14" s="5"/>
      <c r="F14" s="5"/>
    </row>
    <row r="15" spans="1:11">
      <c r="A15" s="4"/>
      <c r="C15" t="str">
        <f>IF($B15="","",IFERROR(INDEX(Orders!$B:$B,MATCH($B15,Orders!$A:$A,0)),""))</f>
        <v/>
      </c>
      <c r="D15" t="str">
        <f>IF($B15="","",IFERROR(INDEX(Orders!$D:$D,MATCH($B15,Orders!$A:$A,0)),""))</f>
        <v/>
      </c>
      <c r="E15" s="5"/>
      <c r="F15" s="5"/>
    </row>
    <row r="16" spans="1:11">
      <c r="A16" s="4"/>
      <c r="C16" t="str">
        <f>IF($B16="","",IFERROR(INDEX(Orders!$B:$B,MATCH($B16,Orders!$A:$A,0)),""))</f>
        <v/>
      </c>
      <c r="D16" t="str">
        <f>IF($B16="","",IFERROR(INDEX(Orders!$D:$D,MATCH($B16,Orders!$A:$A,0)),""))</f>
        <v/>
      </c>
      <c r="E16" s="5"/>
      <c r="F16" s="5"/>
    </row>
    <row r="17" spans="1:6">
      <c r="A17" s="4"/>
      <c r="C17" t="str">
        <f>IF($B17="","",IFERROR(INDEX(Orders!$B:$B,MATCH($B17,Orders!$A:$A,0)),""))</f>
        <v/>
      </c>
      <c r="D17" t="str">
        <f>IF($B17="","",IFERROR(INDEX(Orders!$D:$D,MATCH($B17,Orders!$A:$A,0)),""))</f>
        <v/>
      </c>
      <c r="E17" s="5"/>
      <c r="F17" s="5"/>
    </row>
    <row r="18" spans="1:6">
      <c r="A18" s="4"/>
      <c r="C18" t="str">
        <f>IF($B18="","",IFERROR(INDEX(Orders!$B:$B,MATCH($B18,Orders!$A:$A,0)),""))</f>
        <v/>
      </c>
      <c r="D18" t="str">
        <f>IF($B18="","",IFERROR(INDEX(Orders!$D:$D,MATCH($B18,Orders!$A:$A,0)),""))</f>
        <v/>
      </c>
      <c r="E18" s="5"/>
      <c r="F18" s="5"/>
    </row>
    <row r="19" spans="1:6">
      <c r="A19" s="4"/>
      <c r="C19" t="str">
        <f>IF($B19="","",IFERROR(INDEX(Orders!$B:$B,MATCH($B19,Orders!$A:$A,0)),""))</f>
        <v/>
      </c>
      <c r="D19" t="str">
        <f>IF($B19="","",IFERROR(INDEX(Orders!$D:$D,MATCH($B19,Orders!$A:$A,0)),""))</f>
        <v/>
      </c>
      <c r="E19" s="5"/>
      <c r="F19" s="5"/>
    </row>
    <row r="20" spans="1:6">
      <c r="A20" s="4"/>
      <c r="C20" t="str">
        <f>IF($B20="","",IFERROR(INDEX(Orders!$B:$B,MATCH($B20,Orders!$A:$A,0)),""))</f>
        <v/>
      </c>
      <c r="D20" t="str">
        <f>IF($B20="","",IFERROR(INDEX(Orders!$D:$D,MATCH($B20,Orders!$A:$A,0)),""))</f>
        <v/>
      </c>
      <c r="E20" s="5"/>
      <c r="F20" s="5"/>
    </row>
    <row r="21" spans="1:6">
      <c r="A21" s="4"/>
      <c r="C21" t="str">
        <f>IF($B21="","",IFERROR(INDEX(Orders!$B:$B,MATCH($B21,Orders!$A:$A,0)),""))</f>
        <v/>
      </c>
      <c r="D21" t="str">
        <f>IF($B21="","",IFERROR(INDEX(Orders!$D:$D,MATCH($B21,Orders!$A:$A,0)),""))</f>
        <v/>
      </c>
      <c r="E21" s="5"/>
      <c r="F21" s="5"/>
    </row>
    <row r="22" spans="1:6">
      <c r="A22" s="4"/>
      <c r="C22" t="str">
        <f>IF($B22="","",IFERROR(INDEX(Orders!$B:$B,MATCH($B22,Orders!$A:$A,0)),""))</f>
        <v/>
      </c>
      <c r="D22" t="str">
        <f>IF($B22="","",IFERROR(INDEX(Orders!$D:$D,MATCH($B22,Orders!$A:$A,0)),""))</f>
        <v/>
      </c>
      <c r="E22" s="5"/>
      <c r="F22" s="5"/>
    </row>
    <row r="23" spans="1:6">
      <c r="A23" s="4"/>
      <c r="C23" t="str">
        <f>IF($B23="","",IFERROR(INDEX(Orders!$B:$B,MATCH($B23,Orders!$A:$A,0)),""))</f>
        <v/>
      </c>
      <c r="D23" t="str">
        <f>IF($B23="","",IFERROR(INDEX(Orders!$D:$D,MATCH($B23,Orders!$A:$A,0)),""))</f>
        <v/>
      </c>
      <c r="E23" s="5"/>
      <c r="F23" s="5"/>
    </row>
    <row r="24" spans="1:6">
      <c r="A24" s="4"/>
      <c r="C24" t="str">
        <f>IF($B24="","",IFERROR(INDEX(Orders!$B:$B,MATCH($B24,Orders!$A:$A,0)),""))</f>
        <v/>
      </c>
      <c r="D24" t="str">
        <f>IF($B24="","",IFERROR(INDEX(Orders!$D:$D,MATCH($B24,Orders!$A:$A,0)),""))</f>
        <v/>
      </c>
      <c r="E24" s="5"/>
      <c r="F24" s="5"/>
    </row>
    <row r="25" spans="1:6">
      <c r="A25" s="4"/>
      <c r="C25" t="str">
        <f>IF($B25="","",IFERROR(INDEX(Orders!$B:$B,MATCH($B25,Orders!$A:$A,0)),""))</f>
        <v/>
      </c>
      <c r="D25" t="str">
        <f>IF($B25="","",IFERROR(INDEX(Orders!$D:$D,MATCH($B25,Orders!$A:$A,0)),""))</f>
        <v/>
      </c>
      <c r="E25" s="5"/>
      <c r="F25" s="5"/>
    </row>
    <row r="26" spans="1:6">
      <c r="A26" s="4"/>
      <c r="C26" t="str">
        <f>IF($B26="","",IFERROR(INDEX(Orders!$B:$B,MATCH($B26,Orders!$A:$A,0)),""))</f>
        <v/>
      </c>
      <c r="D26" t="str">
        <f>IF($B26="","",IFERROR(INDEX(Orders!$D:$D,MATCH($B26,Orders!$A:$A,0)),""))</f>
        <v/>
      </c>
      <c r="E26" s="5"/>
      <c r="F26" s="5"/>
    </row>
    <row r="27" spans="1:6">
      <c r="A27" s="4"/>
      <c r="C27" t="str">
        <f>IF($B27="","",IFERROR(INDEX(Orders!$B:$B,MATCH($B27,Orders!$A:$A,0)),""))</f>
        <v/>
      </c>
      <c r="D27" t="str">
        <f>IF($B27="","",IFERROR(INDEX(Orders!$D:$D,MATCH($B27,Orders!$A:$A,0)),""))</f>
        <v/>
      </c>
      <c r="E27" s="5"/>
      <c r="F27" s="5"/>
    </row>
    <row r="28" spans="1:6">
      <c r="A28" s="4"/>
      <c r="C28" t="str">
        <f>IF($B28="","",IFERROR(INDEX(Orders!$B:$B,MATCH($B28,Orders!$A:$A,0)),""))</f>
        <v/>
      </c>
      <c r="D28" t="str">
        <f>IF($B28="","",IFERROR(INDEX(Orders!$D:$D,MATCH($B28,Orders!$A:$A,0)),""))</f>
        <v/>
      </c>
      <c r="E28" s="5"/>
      <c r="F28" s="5"/>
    </row>
    <row r="29" spans="1:6">
      <c r="A29" s="4"/>
      <c r="C29" t="str">
        <f>IF($B29="","",IFERROR(INDEX(Orders!$B:$B,MATCH($B29,Orders!$A:$A,0)),""))</f>
        <v/>
      </c>
      <c r="D29" t="str">
        <f>IF($B29="","",IFERROR(INDEX(Orders!$D:$D,MATCH($B29,Orders!$A:$A,0)),""))</f>
        <v/>
      </c>
      <c r="E29" s="5"/>
      <c r="F29" s="5"/>
    </row>
    <row r="30" spans="1:6">
      <c r="A30" s="4"/>
      <c r="C30" t="str">
        <f>IF($B30="","",IFERROR(INDEX(Orders!$B:$B,MATCH($B30,Orders!$A:$A,0)),""))</f>
        <v/>
      </c>
      <c r="D30" t="str">
        <f>IF($B30="","",IFERROR(INDEX(Orders!$D:$D,MATCH($B30,Orders!$A:$A,0)),""))</f>
        <v/>
      </c>
      <c r="E30" s="5"/>
      <c r="F30" s="5"/>
    </row>
    <row r="31" spans="1:6">
      <c r="A31" s="4"/>
      <c r="C31" t="str">
        <f>IF($B31="","",IFERROR(INDEX(Orders!$B:$B,MATCH($B31,Orders!$A:$A,0)),""))</f>
        <v/>
      </c>
      <c r="D31" t="str">
        <f>IF($B31="","",IFERROR(INDEX(Orders!$D:$D,MATCH($B31,Orders!$A:$A,0)),""))</f>
        <v/>
      </c>
      <c r="E31" s="5"/>
      <c r="F31" s="5"/>
    </row>
    <row r="32" spans="1:6">
      <c r="A32" s="4"/>
      <c r="C32" t="str">
        <f>IF($B32="","",IFERROR(INDEX(Orders!$B:$B,MATCH($B32,Orders!$A:$A,0)),""))</f>
        <v/>
      </c>
      <c r="D32" t="str">
        <f>IF($B32="","",IFERROR(INDEX(Orders!$D:$D,MATCH($B32,Orders!$A:$A,0)),""))</f>
        <v/>
      </c>
      <c r="E32" s="5"/>
      <c r="F32" s="5"/>
    </row>
    <row r="33" spans="1:6">
      <c r="A33" s="4"/>
      <c r="C33" t="str">
        <f>IF($B33="","",IFERROR(INDEX(Orders!$B:$B,MATCH($B33,Orders!$A:$A,0)),""))</f>
        <v/>
      </c>
      <c r="D33" t="str">
        <f>IF($B33="","",IFERROR(INDEX(Orders!$D:$D,MATCH($B33,Orders!$A:$A,0)),""))</f>
        <v/>
      </c>
      <c r="E33" s="5"/>
      <c r="F33" s="5"/>
    </row>
    <row r="34" spans="1:6">
      <c r="A34" s="4"/>
      <c r="C34" t="str">
        <f>IF($B34="","",IFERROR(INDEX(Orders!$B:$B,MATCH($B34,Orders!$A:$A,0)),""))</f>
        <v/>
      </c>
      <c r="D34" t="str">
        <f>IF($B34="","",IFERROR(INDEX(Orders!$D:$D,MATCH($B34,Orders!$A:$A,0)),""))</f>
        <v/>
      </c>
      <c r="E34" s="5"/>
      <c r="F34" s="5"/>
    </row>
    <row r="35" spans="1:6">
      <c r="A35" s="4"/>
      <c r="C35" t="str">
        <f>IF($B35="","",IFERROR(INDEX(Orders!$B:$B,MATCH($B35,Orders!$A:$A,0)),""))</f>
        <v/>
      </c>
      <c r="D35" t="str">
        <f>IF($B35="","",IFERROR(INDEX(Orders!$D:$D,MATCH($B35,Orders!$A:$A,0)),""))</f>
        <v/>
      </c>
      <c r="E35" s="5"/>
      <c r="F35" s="5"/>
    </row>
    <row r="36" spans="1:6">
      <c r="A36" s="4"/>
      <c r="C36" t="str">
        <f>IF($B36="","",IFERROR(INDEX(Orders!$B:$B,MATCH($B36,Orders!$A:$A,0)),""))</f>
        <v/>
      </c>
      <c r="D36" t="str">
        <f>IF($B36="","",IFERROR(INDEX(Orders!$D:$D,MATCH($B36,Orders!$A:$A,0)),""))</f>
        <v/>
      </c>
      <c r="E36" s="5"/>
      <c r="F36" s="5"/>
    </row>
    <row r="37" spans="1:6">
      <c r="A37" s="4"/>
      <c r="C37" t="str">
        <f>IF($B37="","",IFERROR(INDEX(Orders!$B:$B,MATCH($B37,Orders!$A:$A,0)),""))</f>
        <v/>
      </c>
      <c r="D37" t="str">
        <f>IF($B37="","",IFERROR(INDEX(Orders!$D:$D,MATCH($B37,Orders!$A:$A,0)),""))</f>
        <v/>
      </c>
      <c r="E37" s="5"/>
      <c r="F37" s="5"/>
    </row>
    <row r="38" spans="1:6">
      <c r="A38" s="4"/>
      <c r="C38" t="str">
        <f>IF($B38="","",IFERROR(INDEX(Orders!$B:$B,MATCH($B38,Orders!$A:$A,0)),""))</f>
        <v/>
      </c>
      <c r="D38" t="str">
        <f>IF($B38="","",IFERROR(INDEX(Orders!$D:$D,MATCH($B38,Orders!$A:$A,0)),""))</f>
        <v/>
      </c>
      <c r="E38" s="5"/>
      <c r="F38" s="5"/>
    </row>
    <row r="39" spans="1:6">
      <c r="A39" s="4"/>
      <c r="C39" t="str">
        <f>IF($B39="","",IFERROR(INDEX(Orders!$B:$B,MATCH($B39,Orders!$A:$A,0)),""))</f>
        <v/>
      </c>
      <c r="D39" t="str">
        <f>IF($B39="","",IFERROR(INDEX(Orders!$D:$D,MATCH($B39,Orders!$A:$A,0)),""))</f>
        <v/>
      </c>
      <c r="E39" s="5"/>
      <c r="F39" s="5"/>
    </row>
    <row r="40" spans="1:6">
      <c r="A40" s="4"/>
      <c r="C40" t="str">
        <f>IF($B40="","",IFERROR(INDEX(Orders!$B:$B,MATCH($B40,Orders!$A:$A,0)),""))</f>
        <v/>
      </c>
      <c r="D40" t="str">
        <f>IF($B40="","",IFERROR(INDEX(Orders!$D:$D,MATCH($B40,Orders!$A:$A,0)),""))</f>
        <v/>
      </c>
      <c r="E40" s="5"/>
      <c r="F40" s="5"/>
    </row>
    <row r="41" spans="1:6">
      <c r="A41" s="4"/>
      <c r="C41" t="str">
        <f>IF($B41="","",IFERROR(INDEX(Orders!$B:$B,MATCH($B41,Orders!$A:$A,0)),""))</f>
        <v/>
      </c>
      <c r="D41" t="str">
        <f>IF($B41="","",IFERROR(INDEX(Orders!$D:$D,MATCH($B41,Orders!$A:$A,0)),""))</f>
        <v/>
      </c>
      <c r="E41" s="5"/>
      <c r="F41" s="5"/>
    </row>
    <row r="42" spans="1:6">
      <c r="A42" s="4"/>
      <c r="C42" t="str">
        <f>IF($B42="","",IFERROR(INDEX(Orders!$B:$B,MATCH($B42,Orders!$A:$A,0)),""))</f>
        <v/>
      </c>
      <c r="D42" t="str">
        <f>IF($B42="","",IFERROR(INDEX(Orders!$D:$D,MATCH($B42,Orders!$A:$A,0)),""))</f>
        <v/>
      </c>
      <c r="E42" s="5"/>
      <c r="F42" s="5"/>
    </row>
    <row r="43" spans="1:6">
      <c r="A43" s="4"/>
      <c r="C43" t="str">
        <f>IF($B43="","",IFERROR(INDEX(Orders!$B:$B,MATCH($B43,Orders!$A:$A,0)),""))</f>
        <v/>
      </c>
      <c r="D43" t="str">
        <f>IF($B43="","",IFERROR(INDEX(Orders!$D:$D,MATCH($B43,Orders!$A:$A,0)),""))</f>
        <v/>
      </c>
      <c r="E43" s="5"/>
      <c r="F43" s="5"/>
    </row>
    <row r="44" spans="1:6">
      <c r="A44" s="4"/>
      <c r="C44" t="str">
        <f>IF($B44="","",IFERROR(INDEX(Orders!$B:$B,MATCH($B44,Orders!$A:$A,0)),""))</f>
        <v/>
      </c>
      <c r="D44" t="str">
        <f>IF($B44="","",IFERROR(INDEX(Orders!$D:$D,MATCH($B44,Orders!$A:$A,0)),""))</f>
        <v/>
      </c>
      <c r="E44" s="5"/>
      <c r="F44" s="5"/>
    </row>
    <row r="45" spans="1:6">
      <c r="A45" s="4"/>
      <c r="C45" t="str">
        <f>IF($B45="","",IFERROR(INDEX(Orders!$B:$B,MATCH($B45,Orders!$A:$A,0)),""))</f>
        <v/>
      </c>
      <c r="D45" t="str">
        <f>IF($B45="","",IFERROR(INDEX(Orders!$D:$D,MATCH($B45,Orders!$A:$A,0)),""))</f>
        <v/>
      </c>
      <c r="E45" s="5"/>
      <c r="F45" s="5"/>
    </row>
    <row r="46" spans="1:6">
      <c r="A46" s="4"/>
      <c r="C46" t="str">
        <f>IF($B46="","",IFERROR(INDEX(Orders!$B:$B,MATCH($B46,Orders!$A:$A,0)),""))</f>
        <v/>
      </c>
      <c r="D46" t="str">
        <f>IF($B46="","",IFERROR(INDEX(Orders!$D:$D,MATCH($B46,Orders!$A:$A,0)),""))</f>
        <v/>
      </c>
      <c r="E46" s="5"/>
      <c r="F46" s="5"/>
    </row>
    <row r="47" spans="1:6">
      <c r="A47" s="4"/>
      <c r="C47" t="str">
        <f>IF($B47="","",IFERROR(INDEX(Orders!$B:$B,MATCH($B47,Orders!$A:$A,0)),""))</f>
        <v/>
      </c>
      <c r="D47" t="str">
        <f>IF($B47="","",IFERROR(INDEX(Orders!$D:$D,MATCH($B47,Orders!$A:$A,0)),""))</f>
        <v/>
      </c>
      <c r="E47" s="5"/>
      <c r="F47" s="5"/>
    </row>
    <row r="48" spans="1:6">
      <c r="A48" s="4"/>
      <c r="C48" t="str">
        <f>IF($B48="","",IFERROR(INDEX(Orders!$B:$B,MATCH($B48,Orders!$A:$A,0)),""))</f>
        <v/>
      </c>
      <c r="D48" t="str">
        <f>IF($B48="","",IFERROR(INDEX(Orders!$D:$D,MATCH($B48,Orders!$A:$A,0)),""))</f>
        <v/>
      </c>
      <c r="E48" s="5"/>
      <c r="F48" s="5"/>
    </row>
    <row r="49" spans="1:6">
      <c r="A49" s="4"/>
      <c r="C49" t="str">
        <f>IF($B49="","",IFERROR(INDEX(Orders!$B:$B,MATCH($B49,Orders!$A:$A,0)),""))</f>
        <v/>
      </c>
      <c r="D49" t="str">
        <f>IF($B49="","",IFERROR(INDEX(Orders!$D:$D,MATCH($B49,Orders!$A:$A,0)),""))</f>
        <v/>
      </c>
      <c r="E49" s="5"/>
      <c r="F49" s="5"/>
    </row>
    <row r="50" spans="1:6">
      <c r="A50" s="4"/>
      <c r="C50" t="str">
        <f>IF($B50="","",IFERROR(INDEX(Orders!$B:$B,MATCH($B50,Orders!$A:$A,0)),""))</f>
        <v/>
      </c>
      <c r="D50" t="str">
        <f>IF($B50="","",IFERROR(INDEX(Orders!$D:$D,MATCH($B50,Orders!$A:$A,0)),""))</f>
        <v/>
      </c>
      <c r="E50" s="5"/>
      <c r="F50" s="5"/>
    </row>
    <row r="51" spans="1:6">
      <c r="A51" s="4"/>
      <c r="C51" t="str">
        <f>IF($B51="","",IFERROR(INDEX(Orders!$B:$B,MATCH($B51,Orders!$A:$A,0)),""))</f>
        <v/>
      </c>
      <c r="D51" t="str">
        <f>IF($B51="","",IFERROR(INDEX(Orders!$D:$D,MATCH($B51,Orders!$A:$A,0)),""))</f>
        <v/>
      </c>
      <c r="E51" s="5"/>
      <c r="F51" s="5"/>
    </row>
    <row r="52" spans="1:6">
      <c r="A52" s="4"/>
      <c r="C52" t="str">
        <f>IF($B52="","",IFERROR(INDEX(Orders!$B:$B,MATCH($B52,Orders!$A:$A,0)),""))</f>
        <v/>
      </c>
      <c r="D52" t="str">
        <f>IF($B52="","",IFERROR(INDEX(Orders!$D:$D,MATCH($B52,Orders!$A:$A,0)),""))</f>
        <v/>
      </c>
      <c r="E52" s="5"/>
      <c r="F52" s="5"/>
    </row>
    <row r="53" spans="1:6">
      <c r="A53" s="4"/>
      <c r="C53" t="str">
        <f>IF($B53="","",IFERROR(INDEX(Orders!$B:$B,MATCH($B53,Orders!$A:$A,0)),""))</f>
        <v/>
      </c>
      <c r="D53" t="str">
        <f>IF($B53="","",IFERROR(INDEX(Orders!$D:$D,MATCH($B53,Orders!$A:$A,0)),""))</f>
        <v/>
      </c>
      <c r="E53" s="5"/>
      <c r="F53" s="5"/>
    </row>
    <row r="54" spans="1:6">
      <c r="A54" s="4"/>
      <c r="C54" t="str">
        <f>IF($B54="","",IFERROR(INDEX(Orders!$B:$B,MATCH($B54,Orders!$A:$A,0)),""))</f>
        <v/>
      </c>
      <c r="D54" t="str">
        <f>IF($B54="","",IFERROR(INDEX(Orders!$D:$D,MATCH($B54,Orders!$A:$A,0)),""))</f>
        <v/>
      </c>
      <c r="E54" s="5"/>
      <c r="F54" s="5"/>
    </row>
    <row r="55" spans="1:6">
      <c r="A55" s="4"/>
      <c r="C55" t="str">
        <f>IF($B55="","",IFERROR(INDEX(Orders!$B:$B,MATCH($B55,Orders!$A:$A,0)),""))</f>
        <v/>
      </c>
      <c r="D55" t="str">
        <f>IF($B55="","",IFERROR(INDEX(Orders!$D:$D,MATCH($B55,Orders!$A:$A,0)),""))</f>
        <v/>
      </c>
      <c r="E55" s="5"/>
      <c r="F55" s="5"/>
    </row>
    <row r="56" spans="1:6">
      <c r="A56" s="4"/>
      <c r="C56" t="str">
        <f>IF($B56="","",IFERROR(INDEX(Orders!$B:$B,MATCH($B56,Orders!$A:$A,0)),""))</f>
        <v/>
      </c>
      <c r="D56" t="str">
        <f>IF($B56="","",IFERROR(INDEX(Orders!$D:$D,MATCH($B56,Orders!$A:$A,0)),""))</f>
        <v/>
      </c>
      <c r="E56" s="5"/>
      <c r="F56" s="5"/>
    </row>
    <row r="57" spans="1:6">
      <c r="A57" s="4"/>
      <c r="C57" t="str">
        <f>IF($B57="","",IFERROR(INDEX(Orders!$B:$B,MATCH($B57,Orders!$A:$A,0)),""))</f>
        <v/>
      </c>
      <c r="D57" t="str">
        <f>IF($B57="","",IFERROR(INDEX(Orders!$D:$D,MATCH($B57,Orders!$A:$A,0)),""))</f>
        <v/>
      </c>
      <c r="E57" s="5"/>
      <c r="F57" s="5"/>
    </row>
    <row r="58" spans="1:6">
      <c r="A58" s="4"/>
      <c r="C58" t="str">
        <f>IF($B58="","",IFERROR(INDEX(Orders!$B:$B,MATCH($B58,Orders!$A:$A,0)),""))</f>
        <v/>
      </c>
      <c r="D58" t="str">
        <f>IF($B58="","",IFERROR(INDEX(Orders!$D:$D,MATCH($B58,Orders!$A:$A,0)),""))</f>
        <v/>
      </c>
      <c r="E58" s="5"/>
      <c r="F58" s="5"/>
    </row>
    <row r="59" spans="1:6">
      <c r="A59" s="4"/>
      <c r="C59" t="str">
        <f>IF($B59="","",IFERROR(INDEX(Orders!$B:$B,MATCH($B59,Orders!$A:$A,0)),""))</f>
        <v/>
      </c>
      <c r="D59" t="str">
        <f>IF($B59="","",IFERROR(INDEX(Orders!$D:$D,MATCH($B59,Orders!$A:$A,0)),""))</f>
        <v/>
      </c>
      <c r="E59" s="5"/>
      <c r="F59" s="5"/>
    </row>
    <row r="60" spans="1:6">
      <c r="A60" s="4"/>
      <c r="C60" t="str">
        <f>IF($B60="","",IFERROR(INDEX(Orders!$B:$B,MATCH($B60,Orders!$A:$A,0)),""))</f>
        <v/>
      </c>
      <c r="D60" t="str">
        <f>IF($B60="","",IFERROR(INDEX(Orders!$D:$D,MATCH($B60,Orders!$A:$A,0)),""))</f>
        <v/>
      </c>
      <c r="E60" s="5"/>
      <c r="F60" s="5"/>
    </row>
    <row r="61" spans="1:6">
      <c r="A61" s="4"/>
      <c r="C61" t="str">
        <f>IF($B61="","",IFERROR(INDEX(Orders!$B:$B,MATCH($B61,Orders!$A:$A,0)),""))</f>
        <v/>
      </c>
      <c r="D61" t="str">
        <f>IF($B61="","",IFERROR(INDEX(Orders!$D:$D,MATCH($B61,Orders!$A:$A,0)),""))</f>
        <v/>
      </c>
      <c r="E61" s="5"/>
      <c r="F61" s="5"/>
    </row>
    <row r="62" spans="1:6">
      <c r="A62" s="4"/>
      <c r="C62" t="str">
        <f>IF($B62="","",IFERROR(INDEX(Orders!$B:$B,MATCH($B62,Orders!$A:$A,0)),""))</f>
        <v/>
      </c>
      <c r="D62" t="str">
        <f>IF($B62="","",IFERROR(INDEX(Orders!$D:$D,MATCH($B62,Orders!$A:$A,0)),""))</f>
        <v/>
      </c>
      <c r="E62" s="5"/>
      <c r="F62" s="5"/>
    </row>
    <row r="63" spans="1:6">
      <c r="A63" s="4"/>
      <c r="C63" t="str">
        <f>IF($B63="","",IFERROR(INDEX(Orders!$B:$B,MATCH($B63,Orders!$A:$A,0)),""))</f>
        <v/>
      </c>
      <c r="D63" t="str">
        <f>IF($B63="","",IFERROR(INDEX(Orders!$D:$D,MATCH($B63,Orders!$A:$A,0)),""))</f>
        <v/>
      </c>
      <c r="E63" s="5"/>
      <c r="F63" s="5"/>
    </row>
    <row r="64" spans="1:6">
      <c r="A64" s="4"/>
      <c r="C64" t="str">
        <f>IF($B64="","",IFERROR(INDEX(Orders!$B:$B,MATCH($B64,Orders!$A:$A,0)),""))</f>
        <v/>
      </c>
      <c r="D64" t="str">
        <f>IF($B64="","",IFERROR(INDEX(Orders!$D:$D,MATCH($B64,Orders!$A:$A,0)),""))</f>
        <v/>
      </c>
      <c r="E64" s="5"/>
      <c r="F64" s="5"/>
    </row>
    <row r="65" spans="1:6">
      <c r="A65" s="4"/>
      <c r="C65" t="str">
        <f>IF($B65="","",IFERROR(INDEX(Orders!$B:$B,MATCH($B65,Orders!$A:$A,0)),""))</f>
        <v/>
      </c>
      <c r="D65" t="str">
        <f>IF($B65="","",IFERROR(INDEX(Orders!$D:$D,MATCH($B65,Orders!$A:$A,0)),""))</f>
        <v/>
      </c>
      <c r="E65" s="5"/>
      <c r="F65" s="5"/>
    </row>
    <row r="66" spans="1:6">
      <c r="A66" s="4"/>
      <c r="C66" t="str">
        <f>IF($B66="","",IFERROR(INDEX(Orders!$B:$B,MATCH($B66,Orders!$A:$A,0)),""))</f>
        <v/>
      </c>
      <c r="D66" t="str">
        <f>IF($B66="","",IFERROR(INDEX(Orders!$D:$D,MATCH($B66,Orders!$A:$A,0)),""))</f>
        <v/>
      </c>
      <c r="E66" s="5"/>
      <c r="F66" s="5"/>
    </row>
    <row r="67" spans="1:6">
      <c r="A67" s="4"/>
      <c r="C67" t="str">
        <f>IF($B67="","",IFERROR(INDEX(Orders!$B:$B,MATCH($B67,Orders!$A:$A,0)),""))</f>
        <v/>
      </c>
      <c r="D67" t="str">
        <f>IF($B67="","",IFERROR(INDEX(Orders!$D:$D,MATCH($B67,Orders!$A:$A,0)),""))</f>
        <v/>
      </c>
      <c r="E67" s="5"/>
      <c r="F67" s="5"/>
    </row>
    <row r="68" spans="1:6">
      <c r="A68" s="4"/>
      <c r="C68" t="str">
        <f>IF($B68="","",IFERROR(INDEX(Orders!$B:$B,MATCH($B68,Orders!$A:$A,0)),""))</f>
        <v/>
      </c>
      <c r="D68" t="str">
        <f>IF($B68="","",IFERROR(INDEX(Orders!$D:$D,MATCH($B68,Orders!$A:$A,0)),""))</f>
        <v/>
      </c>
      <c r="E68" s="5"/>
      <c r="F68" s="5"/>
    </row>
    <row r="69" spans="1:6">
      <c r="A69" s="4"/>
      <c r="C69" t="str">
        <f>IF($B69="","",IFERROR(INDEX(Orders!$B:$B,MATCH($B69,Orders!$A:$A,0)),""))</f>
        <v/>
      </c>
      <c r="D69" t="str">
        <f>IF($B69="","",IFERROR(INDEX(Orders!$D:$D,MATCH($B69,Orders!$A:$A,0)),""))</f>
        <v/>
      </c>
      <c r="E69" s="5"/>
      <c r="F69" s="5"/>
    </row>
    <row r="70" spans="1:6">
      <c r="A70" s="4"/>
      <c r="C70" t="str">
        <f>IF($B70="","",IFERROR(INDEX(Orders!$B:$B,MATCH($B70,Orders!$A:$A,0)),""))</f>
        <v/>
      </c>
      <c r="D70" t="str">
        <f>IF($B70="","",IFERROR(INDEX(Orders!$D:$D,MATCH($B70,Orders!$A:$A,0)),""))</f>
        <v/>
      </c>
      <c r="E70" s="5"/>
      <c r="F70" s="5"/>
    </row>
    <row r="71" spans="1:6">
      <c r="A71" s="4"/>
      <c r="C71" t="str">
        <f>IF($B71="","",IFERROR(INDEX(Orders!$B:$B,MATCH($B71,Orders!$A:$A,0)),""))</f>
        <v/>
      </c>
      <c r="D71" t="str">
        <f>IF($B71="","",IFERROR(INDEX(Orders!$D:$D,MATCH($B71,Orders!$A:$A,0)),""))</f>
        <v/>
      </c>
      <c r="E71" s="5"/>
      <c r="F71" s="5"/>
    </row>
    <row r="72" spans="1:6">
      <c r="A72" s="4"/>
      <c r="C72" t="str">
        <f>IF($B72="","",IFERROR(INDEX(Orders!$B:$B,MATCH($B72,Orders!$A:$A,0)),""))</f>
        <v/>
      </c>
      <c r="D72" t="str">
        <f>IF($B72="","",IFERROR(INDEX(Orders!$D:$D,MATCH($B72,Orders!$A:$A,0)),""))</f>
        <v/>
      </c>
      <c r="E72" s="5"/>
      <c r="F72" s="5"/>
    </row>
    <row r="73" spans="1:6">
      <c r="A73" s="4"/>
      <c r="C73" t="str">
        <f>IF($B73="","",IFERROR(INDEX(Orders!$B:$B,MATCH($B73,Orders!$A:$A,0)),""))</f>
        <v/>
      </c>
      <c r="D73" t="str">
        <f>IF($B73="","",IFERROR(INDEX(Orders!$D:$D,MATCH($B73,Orders!$A:$A,0)),""))</f>
        <v/>
      </c>
      <c r="E73" s="5"/>
      <c r="F73" s="5"/>
    </row>
    <row r="74" spans="1:6">
      <c r="A74" s="4"/>
      <c r="C74" t="str">
        <f>IF($B74="","",IFERROR(INDEX(Orders!$B:$B,MATCH($B74,Orders!$A:$A,0)),""))</f>
        <v/>
      </c>
      <c r="D74" t="str">
        <f>IF($B74="","",IFERROR(INDEX(Orders!$D:$D,MATCH($B74,Orders!$A:$A,0)),""))</f>
        <v/>
      </c>
      <c r="E74" s="5"/>
      <c r="F74" s="5"/>
    </row>
    <row r="75" spans="1:6">
      <c r="A75" s="4"/>
      <c r="C75" t="str">
        <f>IF($B75="","",IFERROR(INDEX(Orders!$B:$B,MATCH($B75,Orders!$A:$A,0)),""))</f>
        <v/>
      </c>
      <c r="D75" t="str">
        <f>IF($B75="","",IFERROR(INDEX(Orders!$D:$D,MATCH($B75,Orders!$A:$A,0)),""))</f>
        <v/>
      </c>
      <c r="E75" s="5"/>
      <c r="F75" s="5"/>
    </row>
    <row r="76" spans="1:6">
      <c r="A76" s="4"/>
      <c r="C76" t="str">
        <f>IF($B76="","",IFERROR(INDEX(Orders!$B:$B,MATCH($B76,Orders!$A:$A,0)),""))</f>
        <v/>
      </c>
      <c r="D76" t="str">
        <f>IF($B76="","",IFERROR(INDEX(Orders!$D:$D,MATCH($B76,Orders!$A:$A,0)),""))</f>
        <v/>
      </c>
      <c r="E76" s="5"/>
      <c r="F76" s="5"/>
    </row>
    <row r="77" spans="1:6">
      <c r="A77" s="4"/>
      <c r="C77" t="str">
        <f>IF($B77="","",IFERROR(INDEX(Orders!$B:$B,MATCH($B77,Orders!$A:$A,0)),""))</f>
        <v/>
      </c>
      <c r="D77" t="str">
        <f>IF($B77="","",IFERROR(INDEX(Orders!$D:$D,MATCH($B77,Orders!$A:$A,0)),""))</f>
        <v/>
      </c>
      <c r="E77" s="5"/>
      <c r="F77" s="5"/>
    </row>
    <row r="78" spans="1:6">
      <c r="A78" s="4"/>
      <c r="C78" t="str">
        <f>IF($B78="","",IFERROR(INDEX(Orders!$B:$B,MATCH($B78,Orders!$A:$A,0)),""))</f>
        <v/>
      </c>
      <c r="D78" t="str">
        <f>IF($B78="","",IFERROR(INDEX(Orders!$D:$D,MATCH($B78,Orders!$A:$A,0)),""))</f>
        <v/>
      </c>
      <c r="E78" s="5"/>
      <c r="F78" s="5"/>
    </row>
    <row r="79" spans="1:6">
      <c r="A79" s="4"/>
      <c r="C79" t="str">
        <f>IF($B79="","",IFERROR(INDEX(Orders!$B:$B,MATCH($B79,Orders!$A:$A,0)),""))</f>
        <v/>
      </c>
      <c r="D79" t="str">
        <f>IF($B79="","",IFERROR(INDEX(Orders!$D:$D,MATCH($B79,Orders!$A:$A,0)),""))</f>
        <v/>
      </c>
      <c r="E79" s="5"/>
      <c r="F79" s="5"/>
    </row>
    <row r="80" spans="1:6">
      <c r="A80" s="4"/>
      <c r="C80" t="str">
        <f>IF($B80="","",IFERROR(INDEX(Orders!$B:$B,MATCH($B80,Orders!$A:$A,0)),""))</f>
        <v/>
      </c>
      <c r="D80" t="str">
        <f>IF($B80="","",IFERROR(INDEX(Orders!$D:$D,MATCH($B80,Orders!$A:$A,0)),""))</f>
        <v/>
      </c>
      <c r="E80" s="5"/>
      <c r="F80" s="5"/>
    </row>
    <row r="81" spans="1:6">
      <c r="A81" s="4"/>
      <c r="C81" t="str">
        <f>IF($B81="","",IFERROR(INDEX(Orders!$B:$B,MATCH($B81,Orders!$A:$A,0)),""))</f>
        <v/>
      </c>
      <c r="D81" t="str">
        <f>IF($B81="","",IFERROR(INDEX(Orders!$D:$D,MATCH($B81,Orders!$A:$A,0)),""))</f>
        <v/>
      </c>
      <c r="E81" s="5"/>
      <c r="F81" s="5"/>
    </row>
    <row r="82" spans="1:6">
      <c r="A82" s="4"/>
      <c r="C82" t="str">
        <f>IF($B82="","",IFERROR(INDEX(Orders!$B:$B,MATCH($B82,Orders!$A:$A,0)),""))</f>
        <v/>
      </c>
      <c r="D82" t="str">
        <f>IF($B82="","",IFERROR(INDEX(Orders!$D:$D,MATCH($B82,Orders!$A:$A,0)),""))</f>
        <v/>
      </c>
      <c r="E82" s="5"/>
      <c r="F82" s="5"/>
    </row>
    <row r="83" spans="1:6">
      <c r="A83" s="4"/>
      <c r="C83" t="str">
        <f>IF($B83="","",IFERROR(INDEX(Orders!$B:$B,MATCH($B83,Orders!$A:$A,0)),""))</f>
        <v/>
      </c>
      <c r="D83" t="str">
        <f>IF($B83="","",IFERROR(INDEX(Orders!$D:$D,MATCH($B83,Orders!$A:$A,0)),""))</f>
        <v/>
      </c>
      <c r="E83" s="5"/>
      <c r="F83" s="5"/>
    </row>
    <row r="84" spans="1:6">
      <c r="A84" s="4"/>
      <c r="C84" t="str">
        <f>IF($B84="","",IFERROR(INDEX(Orders!$B:$B,MATCH($B84,Orders!$A:$A,0)),""))</f>
        <v/>
      </c>
      <c r="D84" t="str">
        <f>IF($B84="","",IFERROR(INDEX(Orders!$D:$D,MATCH($B84,Orders!$A:$A,0)),""))</f>
        <v/>
      </c>
      <c r="E84" s="5"/>
      <c r="F84" s="5"/>
    </row>
    <row r="85" spans="1:6">
      <c r="A85" s="4"/>
      <c r="C85" t="str">
        <f>IF($B85="","",IFERROR(INDEX(Orders!$B:$B,MATCH($B85,Orders!$A:$A,0)),""))</f>
        <v/>
      </c>
      <c r="D85" t="str">
        <f>IF($B85="","",IFERROR(INDEX(Orders!$D:$D,MATCH($B85,Orders!$A:$A,0)),""))</f>
        <v/>
      </c>
      <c r="E85" s="5"/>
      <c r="F85" s="5"/>
    </row>
    <row r="86" spans="1:6">
      <c r="A86" s="4"/>
      <c r="C86" t="str">
        <f>IF($B86="","",IFERROR(INDEX(Orders!$B:$B,MATCH($B86,Orders!$A:$A,0)),""))</f>
        <v/>
      </c>
      <c r="D86" t="str">
        <f>IF($B86="","",IFERROR(INDEX(Orders!$D:$D,MATCH($B86,Orders!$A:$A,0)),""))</f>
        <v/>
      </c>
      <c r="E86" s="5"/>
      <c r="F86" s="5"/>
    </row>
    <row r="87" spans="1:6">
      <c r="A87" s="4"/>
      <c r="C87" t="str">
        <f>IF($B87="","",IFERROR(INDEX(Orders!$B:$B,MATCH($B87,Orders!$A:$A,0)),""))</f>
        <v/>
      </c>
      <c r="D87" t="str">
        <f>IF($B87="","",IFERROR(INDEX(Orders!$D:$D,MATCH($B87,Orders!$A:$A,0)),""))</f>
        <v/>
      </c>
      <c r="E87" s="5"/>
      <c r="F87" s="5"/>
    </row>
    <row r="88" spans="1:6">
      <c r="A88" s="4"/>
      <c r="C88" t="str">
        <f>IF($B88="","",IFERROR(INDEX(Orders!$B:$B,MATCH($B88,Orders!$A:$A,0)),""))</f>
        <v/>
      </c>
      <c r="D88" t="str">
        <f>IF($B88="","",IFERROR(INDEX(Orders!$D:$D,MATCH($B88,Orders!$A:$A,0)),""))</f>
        <v/>
      </c>
      <c r="E88" s="5"/>
      <c r="F88" s="5"/>
    </row>
    <row r="89" spans="1:6">
      <c r="A89" s="4"/>
      <c r="C89" t="str">
        <f>IF($B89="","",IFERROR(INDEX(Orders!$B:$B,MATCH($B89,Orders!$A:$A,0)),""))</f>
        <v/>
      </c>
      <c r="D89" t="str">
        <f>IF($B89="","",IFERROR(INDEX(Orders!$D:$D,MATCH($B89,Orders!$A:$A,0)),""))</f>
        <v/>
      </c>
      <c r="E89" s="5"/>
      <c r="F89" s="5"/>
    </row>
    <row r="90" spans="1:6">
      <c r="A90" s="4"/>
      <c r="C90" t="str">
        <f>IF($B90="","",IFERROR(INDEX(Orders!$B:$B,MATCH($B90,Orders!$A:$A,0)),""))</f>
        <v/>
      </c>
      <c r="D90" t="str">
        <f>IF($B90="","",IFERROR(INDEX(Orders!$D:$D,MATCH($B90,Orders!$A:$A,0)),""))</f>
        <v/>
      </c>
      <c r="E90" s="5"/>
      <c r="F90" s="5"/>
    </row>
    <row r="91" spans="1:6">
      <c r="A91" s="4"/>
      <c r="C91" t="str">
        <f>IF($B91="","",IFERROR(INDEX(Orders!$B:$B,MATCH($B91,Orders!$A:$A,0)),""))</f>
        <v/>
      </c>
      <c r="D91" t="str">
        <f>IF($B91="","",IFERROR(INDEX(Orders!$D:$D,MATCH($B91,Orders!$A:$A,0)),""))</f>
        <v/>
      </c>
      <c r="E91" s="5"/>
      <c r="F91" s="5"/>
    </row>
    <row r="92" spans="1:6">
      <c r="A92" s="4"/>
      <c r="C92" t="str">
        <f>IF($B92="","",IFERROR(INDEX(Orders!$B:$B,MATCH($B92,Orders!$A:$A,0)),""))</f>
        <v/>
      </c>
      <c r="D92" t="str">
        <f>IF($B92="","",IFERROR(INDEX(Orders!$D:$D,MATCH($B92,Orders!$A:$A,0)),""))</f>
        <v/>
      </c>
      <c r="E92" s="5"/>
      <c r="F92" s="5"/>
    </row>
    <row r="93" spans="1:6">
      <c r="A93" s="4"/>
      <c r="C93" t="str">
        <f>IF($B93="","",IFERROR(INDEX(Orders!$B:$B,MATCH($B93,Orders!$A:$A,0)),""))</f>
        <v/>
      </c>
      <c r="D93" t="str">
        <f>IF($B93="","",IFERROR(INDEX(Orders!$D:$D,MATCH($B93,Orders!$A:$A,0)),""))</f>
        <v/>
      </c>
      <c r="E93" s="5"/>
      <c r="F93" s="5"/>
    </row>
    <row r="94" spans="1:6">
      <c r="A94" s="4"/>
      <c r="C94" t="str">
        <f>IF($B94="","",IFERROR(INDEX(Orders!$B:$B,MATCH($B94,Orders!$A:$A,0)),""))</f>
        <v/>
      </c>
      <c r="D94" t="str">
        <f>IF($B94="","",IFERROR(INDEX(Orders!$D:$D,MATCH($B94,Orders!$A:$A,0)),""))</f>
        <v/>
      </c>
      <c r="E94" s="5"/>
      <c r="F94" s="5"/>
    </row>
    <row r="95" spans="1:6">
      <c r="A95" s="4"/>
      <c r="C95" t="str">
        <f>IF($B95="","",IFERROR(INDEX(Orders!$B:$B,MATCH($B95,Orders!$A:$A,0)),""))</f>
        <v/>
      </c>
      <c r="D95" t="str">
        <f>IF($B95="","",IFERROR(INDEX(Orders!$D:$D,MATCH($B95,Orders!$A:$A,0)),""))</f>
        <v/>
      </c>
      <c r="E95" s="5"/>
      <c r="F95" s="5"/>
    </row>
    <row r="96" spans="1:6">
      <c r="A96" s="4"/>
      <c r="C96" t="str">
        <f>IF($B96="","",IFERROR(INDEX(Orders!$B:$B,MATCH($B96,Orders!$A:$A,0)),""))</f>
        <v/>
      </c>
      <c r="D96" t="str">
        <f>IF($B96="","",IFERROR(INDEX(Orders!$D:$D,MATCH($B96,Orders!$A:$A,0)),""))</f>
        <v/>
      </c>
      <c r="E96" s="5"/>
      <c r="F96" s="5"/>
    </row>
    <row r="97" spans="1:6">
      <c r="A97" s="4"/>
      <c r="C97" t="str">
        <f>IF($B97="","",IFERROR(INDEX(Orders!$B:$B,MATCH($B97,Orders!$A:$A,0)),""))</f>
        <v/>
      </c>
      <c r="D97" t="str">
        <f>IF($B97="","",IFERROR(INDEX(Orders!$D:$D,MATCH($B97,Orders!$A:$A,0)),""))</f>
        <v/>
      </c>
      <c r="E97" s="5"/>
      <c r="F97" s="5"/>
    </row>
    <row r="98" spans="1:6">
      <c r="A98" s="4"/>
      <c r="C98" t="str">
        <f>IF($B98="","",IFERROR(INDEX(Orders!$B:$B,MATCH($B98,Orders!$A:$A,0)),""))</f>
        <v/>
      </c>
      <c r="D98" t="str">
        <f>IF($B98="","",IFERROR(INDEX(Orders!$D:$D,MATCH($B98,Orders!$A:$A,0)),""))</f>
        <v/>
      </c>
      <c r="E98" s="5"/>
      <c r="F98" s="5"/>
    </row>
    <row r="99" spans="1:6">
      <c r="A99" s="4"/>
      <c r="C99" t="str">
        <f>IF($B99="","",IFERROR(INDEX(Orders!$B:$B,MATCH($B99,Orders!$A:$A,0)),""))</f>
        <v/>
      </c>
      <c r="D99" t="str">
        <f>IF($B99="","",IFERROR(INDEX(Orders!$D:$D,MATCH($B99,Orders!$A:$A,0)),""))</f>
        <v/>
      </c>
      <c r="E99" s="5"/>
      <c r="F99" s="5"/>
    </row>
    <row r="100" spans="1:6">
      <c r="A100" s="4"/>
      <c r="C100" t="str">
        <f>IF($B100="","",IFERROR(INDEX(Orders!$B:$B,MATCH($B100,Orders!$A:$A,0)),""))</f>
        <v/>
      </c>
      <c r="D100" t="str">
        <f>IF($B100="","",IFERROR(INDEX(Orders!$D:$D,MATCH($B100,Orders!$A:$A,0)),""))</f>
        <v/>
      </c>
      <c r="E100" s="5"/>
      <c r="F100" s="5"/>
    </row>
    <row r="101" spans="1:6">
      <c r="A101" s="4"/>
      <c r="C101" t="str">
        <f>IF($B101="","",IFERROR(INDEX(Orders!$B:$B,MATCH($B101,Orders!$A:$A,0)),""))</f>
        <v/>
      </c>
      <c r="D101" t="str">
        <f>IF($B101="","",IFERROR(INDEX(Orders!$D:$D,MATCH($B101,Orders!$A:$A,0)),""))</f>
        <v/>
      </c>
      <c r="E101" s="5"/>
      <c r="F101" s="5"/>
    </row>
    <row r="102" spans="1:6">
      <c r="A102" s="4"/>
      <c r="C102" t="str">
        <f>IF($B102="","",IFERROR(INDEX(Orders!$B:$B,MATCH($B102,Orders!$A:$A,0)),""))</f>
        <v/>
      </c>
      <c r="D102" t="str">
        <f>IF($B102="","",IFERROR(INDEX(Orders!$D:$D,MATCH($B102,Orders!$A:$A,0)),""))</f>
        <v/>
      </c>
      <c r="E102" s="5"/>
      <c r="F102" s="5"/>
    </row>
    <row r="103" spans="1:6">
      <c r="A103" s="4"/>
      <c r="C103" t="str">
        <f>IF($B103="","",IFERROR(INDEX(Orders!$B:$B,MATCH($B103,Orders!$A:$A,0)),""))</f>
        <v/>
      </c>
      <c r="D103" t="str">
        <f>IF($B103="","",IFERROR(INDEX(Orders!$D:$D,MATCH($B103,Orders!$A:$A,0)),""))</f>
        <v/>
      </c>
      <c r="E103" s="5"/>
      <c r="F103" s="5"/>
    </row>
    <row r="104" spans="1:6">
      <c r="A104" s="4"/>
      <c r="C104" t="str">
        <f>IF($B104="","",IFERROR(INDEX(Orders!$B:$B,MATCH($B104,Orders!$A:$A,0)),""))</f>
        <v/>
      </c>
      <c r="D104" t="str">
        <f>IF($B104="","",IFERROR(INDEX(Orders!$D:$D,MATCH($B104,Orders!$A:$A,0)),""))</f>
        <v/>
      </c>
      <c r="E104" s="5"/>
      <c r="F104" s="5"/>
    </row>
    <row r="105" spans="1:6">
      <c r="A105" s="4"/>
      <c r="C105" t="str">
        <f>IF($B105="","",IFERROR(INDEX(Orders!$B:$B,MATCH($B105,Orders!$A:$A,0)),""))</f>
        <v/>
      </c>
      <c r="D105" t="str">
        <f>IF($B105="","",IFERROR(INDEX(Orders!$D:$D,MATCH($B105,Orders!$A:$A,0)),""))</f>
        <v/>
      </c>
      <c r="E105" s="5"/>
      <c r="F105" s="5"/>
    </row>
    <row r="106" spans="1:6">
      <c r="A106" s="4"/>
      <c r="C106" t="str">
        <f>IF($B106="","",IFERROR(INDEX(Orders!$B:$B,MATCH($B106,Orders!$A:$A,0)),""))</f>
        <v/>
      </c>
      <c r="D106" t="str">
        <f>IF($B106="","",IFERROR(INDEX(Orders!$D:$D,MATCH($B106,Orders!$A:$A,0)),""))</f>
        <v/>
      </c>
      <c r="E106" s="5"/>
      <c r="F106" s="5"/>
    </row>
    <row r="107" spans="1:6">
      <c r="A107" s="4"/>
      <c r="C107" t="str">
        <f>IF($B107="","",IFERROR(INDEX(Orders!$B:$B,MATCH($B107,Orders!$A:$A,0)),""))</f>
        <v/>
      </c>
      <c r="D107" t="str">
        <f>IF($B107="","",IFERROR(INDEX(Orders!$D:$D,MATCH($B107,Orders!$A:$A,0)),""))</f>
        <v/>
      </c>
      <c r="E107" s="5"/>
      <c r="F107" s="5"/>
    </row>
    <row r="108" spans="1:6">
      <c r="A108" s="4"/>
      <c r="C108" t="str">
        <f>IF($B108="","",IFERROR(INDEX(Orders!$B:$B,MATCH($B108,Orders!$A:$A,0)),""))</f>
        <v/>
      </c>
      <c r="D108" t="str">
        <f>IF($B108="","",IFERROR(INDEX(Orders!$D:$D,MATCH($B108,Orders!$A:$A,0)),""))</f>
        <v/>
      </c>
      <c r="E108" s="5"/>
      <c r="F108" s="5"/>
    </row>
    <row r="109" spans="1:6">
      <c r="A109" s="4"/>
      <c r="C109" t="str">
        <f>IF($B109="","",IFERROR(INDEX(Orders!$B:$B,MATCH($B109,Orders!$A:$A,0)),""))</f>
        <v/>
      </c>
      <c r="D109" t="str">
        <f>IF($B109="","",IFERROR(INDEX(Orders!$D:$D,MATCH($B109,Orders!$A:$A,0)),""))</f>
        <v/>
      </c>
      <c r="E109" s="5"/>
      <c r="F109" s="5"/>
    </row>
    <row r="110" spans="1:6">
      <c r="A110" s="4"/>
      <c r="C110" t="str">
        <f>IF($B110="","",IFERROR(INDEX(Orders!$B:$B,MATCH($B110,Orders!$A:$A,0)),""))</f>
        <v/>
      </c>
      <c r="D110" t="str">
        <f>IF($B110="","",IFERROR(INDEX(Orders!$D:$D,MATCH($B110,Orders!$A:$A,0)),""))</f>
        <v/>
      </c>
      <c r="E110" s="5"/>
      <c r="F110" s="5"/>
    </row>
    <row r="111" spans="1:6">
      <c r="A111" s="4"/>
      <c r="C111" t="str">
        <f>IF($B111="","",IFERROR(INDEX(Orders!$B:$B,MATCH($B111,Orders!$A:$A,0)),""))</f>
        <v/>
      </c>
      <c r="D111" t="str">
        <f>IF($B111="","",IFERROR(INDEX(Orders!$D:$D,MATCH($B111,Orders!$A:$A,0)),""))</f>
        <v/>
      </c>
      <c r="E111" s="5"/>
      <c r="F111" s="5"/>
    </row>
    <row r="112" spans="1:6">
      <c r="A112" s="4"/>
      <c r="C112" t="str">
        <f>IF($B112="","",IFERROR(INDEX(Orders!$B:$B,MATCH($B112,Orders!$A:$A,0)),""))</f>
        <v/>
      </c>
      <c r="D112" t="str">
        <f>IF($B112="","",IFERROR(INDEX(Orders!$D:$D,MATCH($B112,Orders!$A:$A,0)),""))</f>
        <v/>
      </c>
      <c r="E112" s="5"/>
      <c r="F112" s="5"/>
    </row>
    <row r="113" spans="1:6">
      <c r="A113" s="4"/>
      <c r="C113" t="str">
        <f>IF($B113="","",IFERROR(INDEX(Orders!$B:$B,MATCH($B113,Orders!$A:$A,0)),""))</f>
        <v/>
      </c>
      <c r="D113" t="str">
        <f>IF($B113="","",IFERROR(INDEX(Orders!$D:$D,MATCH($B113,Orders!$A:$A,0)),""))</f>
        <v/>
      </c>
      <c r="E113" s="5"/>
      <c r="F113" s="5"/>
    </row>
    <row r="114" spans="1:6">
      <c r="A114" s="4"/>
      <c r="C114" t="str">
        <f>IF($B114="","",IFERROR(INDEX(Orders!$B:$B,MATCH($B114,Orders!$A:$A,0)),""))</f>
        <v/>
      </c>
      <c r="D114" t="str">
        <f>IF($B114="","",IFERROR(INDEX(Orders!$D:$D,MATCH($B114,Orders!$A:$A,0)),""))</f>
        <v/>
      </c>
      <c r="E114" s="5"/>
      <c r="F114" s="5"/>
    </row>
    <row r="115" spans="1:6">
      <c r="A115" s="4"/>
      <c r="C115" t="str">
        <f>IF($B115="","",IFERROR(INDEX(Orders!$B:$B,MATCH($B115,Orders!$A:$A,0)),""))</f>
        <v/>
      </c>
      <c r="D115" t="str">
        <f>IF($B115="","",IFERROR(INDEX(Orders!$D:$D,MATCH($B115,Orders!$A:$A,0)),""))</f>
        <v/>
      </c>
      <c r="E115" s="5"/>
      <c r="F115" s="5"/>
    </row>
    <row r="116" spans="1:6">
      <c r="A116" s="4"/>
      <c r="C116" t="str">
        <f>IF($B116="","",IFERROR(INDEX(Orders!$B:$B,MATCH($B116,Orders!$A:$A,0)),""))</f>
        <v/>
      </c>
      <c r="D116" t="str">
        <f>IF($B116="","",IFERROR(INDEX(Orders!$D:$D,MATCH($B116,Orders!$A:$A,0)),""))</f>
        <v/>
      </c>
      <c r="E116" s="5"/>
      <c r="F116" s="5"/>
    </row>
    <row r="117" spans="1:6">
      <c r="A117" s="4"/>
      <c r="C117" t="str">
        <f>IF($B117="","",IFERROR(INDEX(Orders!$B:$B,MATCH($B117,Orders!$A:$A,0)),""))</f>
        <v/>
      </c>
      <c r="D117" t="str">
        <f>IF($B117="","",IFERROR(INDEX(Orders!$D:$D,MATCH($B117,Orders!$A:$A,0)),""))</f>
        <v/>
      </c>
      <c r="E117" s="5"/>
      <c r="F117" s="5"/>
    </row>
    <row r="118" spans="1:6">
      <c r="A118" s="4"/>
      <c r="C118" t="str">
        <f>IF($B118="","",IFERROR(INDEX(Orders!$B:$B,MATCH($B118,Orders!$A:$A,0)),""))</f>
        <v/>
      </c>
      <c r="D118" t="str">
        <f>IF($B118="","",IFERROR(INDEX(Orders!$D:$D,MATCH($B118,Orders!$A:$A,0)),""))</f>
        <v/>
      </c>
      <c r="E118" s="5"/>
      <c r="F118" s="5"/>
    </row>
    <row r="119" spans="1:6">
      <c r="A119" s="4"/>
      <c r="C119" t="str">
        <f>IF($B119="","",IFERROR(INDEX(Orders!$B:$B,MATCH($B119,Orders!$A:$A,0)),""))</f>
        <v/>
      </c>
      <c r="D119" t="str">
        <f>IF($B119="","",IFERROR(INDEX(Orders!$D:$D,MATCH($B119,Orders!$A:$A,0)),""))</f>
        <v/>
      </c>
      <c r="E119" s="5"/>
      <c r="F119" s="5"/>
    </row>
    <row r="120" spans="1:6">
      <c r="A120" s="4"/>
      <c r="C120" t="str">
        <f>IF($B120="","",IFERROR(INDEX(Orders!$B:$B,MATCH($B120,Orders!$A:$A,0)),""))</f>
        <v/>
      </c>
      <c r="D120" t="str">
        <f>IF($B120="","",IFERROR(INDEX(Orders!$D:$D,MATCH($B120,Orders!$A:$A,0)),""))</f>
        <v/>
      </c>
      <c r="E120" s="5"/>
      <c r="F120" s="5"/>
    </row>
    <row r="121" spans="1:6">
      <c r="A121" s="4"/>
      <c r="C121" t="str">
        <f>IF($B121="","",IFERROR(INDEX(Orders!$B:$B,MATCH($B121,Orders!$A:$A,0)),""))</f>
        <v/>
      </c>
      <c r="D121" t="str">
        <f>IF($B121="","",IFERROR(INDEX(Orders!$D:$D,MATCH($B121,Orders!$A:$A,0)),""))</f>
        <v/>
      </c>
      <c r="E121" s="5"/>
      <c r="F121" s="5"/>
    </row>
    <row r="122" spans="1:6">
      <c r="A122" s="4"/>
      <c r="C122" t="str">
        <f>IF($B122="","",IFERROR(INDEX(Orders!$B:$B,MATCH($B122,Orders!$A:$A,0)),""))</f>
        <v/>
      </c>
      <c r="D122" t="str">
        <f>IF($B122="","",IFERROR(INDEX(Orders!$D:$D,MATCH($B122,Orders!$A:$A,0)),""))</f>
        <v/>
      </c>
      <c r="E122" s="5"/>
      <c r="F122" s="5"/>
    </row>
    <row r="123" spans="1:6">
      <c r="A123" s="4"/>
      <c r="C123" t="str">
        <f>IF($B123="","",IFERROR(INDEX(Orders!$B:$B,MATCH($B123,Orders!$A:$A,0)),""))</f>
        <v/>
      </c>
      <c r="D123" t="str">
        <f>IF($B123="","",IFERROR(INDEX(Orders!$D:$D,MATCH($B123,Orders!$A:$A,0)),""))</f>
        <v/>
      </c>
      <c r="E123" s="5"/>
      <c r="F123" s="5"/>
    </row>
    <row r="124" spans="1:6">
      <c r="A124" s="4"/>
      <c r="C124" t="str">
        <f>IF($B124="","",IFERROR(INDEX(Orders!$B:$B,MATCH($B124,Orders!$A:$A,0)),""))</f>
        <v/>
      </c>
      <c r="D124" t="str">
        <f>IF($B124="","",IFERROR(INDEX(Orders!$D:$D,MATCH($B124,Orders!$A:$A,0)),""))</f>
        <v/>
      </c>
      <c r="E124" s="5"/>
      <c r="F124" s="5"/>
    </row>
    <row r="125" spans="1:6">
      <c r="A125" s="4"/>
      <c r="C125" t="str">
        <f>IF($B125="","",IFERROR(INDEX(Orders!$B:$B,MATCH($B125,Orders!$A:$A,0)),""))</f>
        <v/>
      </c>
      <c r="D125" t="str">
        <f>IF($B125="","",IFERROR(INDEX(Orders!$D:$D,MATCH($B125,Orders!$A:$A,0)),""))</f>
        <v/>
      </c>
      <c r="E125" s="5"/>
      <c r="F125" s="5"/>
    </row>
    <row r="126" spans="1:6">
      <c r="A126" s="4"/>
      <c r="C126" t="str">
        <f>IF($B126="","",IFERROR(INDEX(Orders!$B:$B,MATCH($B126,Orders!$A:$A,0)),""))</f>
        <v/>
      </c>
      <c r="D126" t="str">
        <f>IF($B126="","",IFERROR(INDEX(Orders!$D:$D,MATCH($B126,Orders!$A:$A,0)),""))</f>
        <v/>
      </c>
      <c r="E126" s="5"/>
      <c r="F126" s="5"/>
    </row>
    <row r="127" spans="1:6">
      <c r="A127" s="4"/>
      <c r="C127" t="str">
        <f>IF($B127="","",IFERROR(INDEX(Orders!$B:$B,MATCH($B127,Orders!$A:$A,0)),""))</f>
        <v/>
      </c>
      <c r="D127" t="str">
        <f>IF($B127="","",IFERROR(INDEX(Orders!$D:$D,MATCH($B127,Orders!$A:$A,0)),""))</f>
        <v/>
      </c>
      <c r="E127" s="5"/>
      <c r="F127" s="5"/>
    </row>
    <row r="128" spans="1:6">
      <c r="A128" s="4"/>
      <c r="C128" t="str">
        <f>IF($B128="","",IFERROR(INDEX(Orders!$B:$B,MATCH($B128,Orders!$A:$A,0)),""))</f>
        <v/>
      </c>
      <c r="D128" t="str">
        <f>IF($B128="","",IFERROR(INDEX(Orders!$D:$D,MATCH($B128,Orders!$A:$A,0)),""))</f>
        <v/>
      </c>
      <c r="E128" s="5"/>
      <c r="F128" s="5"/>
    </row>
    <row r="129" spans="1:6">
      <c r="A129" s="4"/>
      <c r="C129" t="str">
        <f>IF($B129="","",IFERROR(INDEX(Orders!$B:$B,MATCH($B129,Orders!$A:$A,0)),""))</f>
        <v/>
      </c>
      <c r="D129" t="str">
        <f>IF($B129="","",IFERROR(INDEX(Orders!$D:$D,MATCH($B129,Orders!$A:$A,0)),""))</f>
        <v/>
      </c>
      <c r="E129" s="5"/>
      <c r="F129" s="5"/>
    </row>
    <row r="130" spans="1:6">
      <c r="A130" s="4"/>
      <c r="C130" t="str">
        <f>IF($B130="","",IFERROR(INDEX(Orders!$B:$B,MATCH($B130,Orders!$A:$A,0)),""))</f>
        <v/>
      </c>
      <c r="D130" t="str">
        <f>IF($B130="","",IFERROR(INDEX(Orders!$D:$D,MATCH($B130,Orders!$A:$A,0)),""))</f>
        <v/>
      </c>
      <c r="E130" s="5"/>
      <c r="F130" s="5"/>
    </row>
    <row r="131" spans="1:6">
      <c r="A131" s="4"/>
      <c r="C131" t="str">
        <f>IF($B131="","",IFERROR(INDEX(Orders!$B:$B,MATCH($B131,Orders!$A:$A,0)),""))</f>
        <v/>
      </c>
      <c r="D131" t="str">
        <f>IF($B131="","",IFERROR(INDEX(Orders!$D:$D,MATCH($B131,Orders!$A:$A,0)),""))</f>
        <v/>
      </c>
      <c r="E131" s="5"/>
      <c r="F131" s="5"/>
    </row>
    <row r="132" spans="1:6">
      <c r="A132" s="4"/>
      <c r="C132" t="str">
        <f>IF($B132="","",IFERROR(INDEX(Orders!$B:$B,MATCH($B132,Orders!$A:$A,0)),""))</f>
        <v/>
      </c>
      <c r="D132" t="str">
        <f>IF($B132="","",IFERROR(INDEX(Orders!$D:$D,MATCH($B132,Orders!$A:$A,0)),""))</f>
        <v/>
      </c>
      <c r="E132" s="5"/>
      <c r="F132" s="5"/>
    </row>
    <row r="133" spans="1:6">
      <c r="A133" s="4"/>
      <c r="C133" t="str">
        <f>IF($B133="","",IFERROR(INDEX(Orders!$B:$B,MATCH($B133,Orders!$A:$A,0)),""))</f>
        <v/>
      </c>
      <c r="D133" t="str">
        <f>IF($B133="","",IFERROR(INDEX(Orders!$D:$D,MATCH($B133,Orders!$A:$A,0)),""))</f>
        <v/>
      </c>
      <c r="E133" s="5"/>
      <c r="F133" s="5"/>
    </row>
    <row r="134" spans="1:6">
      <c r="A134" s="4"/>
      <c r="C134" t="str">
        <f>IF($B134="","",IFERROR(INDEX(Orders!$B:$B,MATCH($B134,Orders!$A:$A,0)),""))</f>
        <v/>
      </c>
      <c r="D134" t="str">
        <f>IF($B134="","",IFERROR(INDEX(Orders!$D:$D,MATCH($B134,Orders!$A:$A,0)),""))</f>
        <v/>
      </c>
      <c r="E134" s="5"/>
      <c r="F134" s="5"/>
    </row>
    <row r="135" spans="1:6">
      <c r="A135" s="4"/>
      <c r="C135" t="str">
        <f>IF($B135="","",IFERROR(INDEX(Orders!$B:$B,MATCH($B135,Orders!$A:$A,0)),""))</f>
        <v/>
      </c>
      <c r="D135" t="str">
        <f>IF($B135="","",IFERROR(INDEX(Orders!$D:$D,MATCH($B135,Orders!$A:$A,0)),""))</f>
        <v/>
      </c>
      <c r="E135" s="5"/>
      <c r="F135" s="5"/>
    </row>
    <row r="136" spans="1:6">
      <c r="A136" s="4"/>
      <c r="C136" t="str">
        <f>IF($B136="","",IFERROR(INDEX(Orders!$B:$B,MATCH($B136,Orders!$A:$A,0)),""))</f>
        <v/>
      </c>
      <c r="D136" t="str">
        <f>IF($B136="","",IFERROR(INDEX(Orders!$D:$D,MATCH($B136,Orders!$A:$A,0)),""))</f>
        <v/>
      </c>
      <c r="E136" s="5"/>
      <c r="F136" s="5"/>
    </row>
    <row r="137" spans="1:6">
      <c r="A137" s="4"/>
      <c r="C137" t="str">
        <f>IF($B137="","",IFERROR(INDEX(Orders!$B:$B,MATCH($B137,Orders!$A:$A,0)),""))</f>
        <v/>
      </c>
      <c r="D137" t="str">
        <f>IF($B137="","",IFERROR(INDEX(Orders!$D:$D,MATCH($B137,Orders!$A:$A,0)),""))</f>
        <v/>
      </c>
      <c r="E137" s="5"/>
      <c r="F137" s="5"/>
    </row>
    <row r="138" spans="1:6">
      <c r="A138" s="4"/>
      <c r="C138" t="str">
        <f>IF($B138="","",IFERROR(INDEX(Orders!$B:$B,MATCH($B138,Orders!$A:$A,0)),""))</f>
        <v/>
      </c>
      <c r="D138" t="str">
        <f>IF($B138="","",IFERROR(INDEX(Orders!$D:$D,MATCH($B138,Orders!$A:$A,0)),""))</f>
        <v/>
      </c>
      <c r="E138" s="5"/>
      <c r="F138" s="5"/>
    </row>
    <row r="139" spans="1:6">
      <c r="A139" s="4"/>
      <c r="C139" t="str">
        <f>IF($B139="","",IFERROR(INDEX(Orders!$B:$B,MATCH($B139,Orders!$A:$A,0)),""))</f>
        <v/>
      </c>
      <c r="D139" t="str">
        <f>IF($B139="","",IFERROR(INDEX(Orders!$D:$D,MATCH($B139,Orders!$A:$A,0)),""))</f>
        <v/>
      </c>
      <c r="E139" s="5"/>
      <c r="F139" s="5"/>
    </row>
    <row r="140" spans="1:6">
      <c r="A140" s="4"/>
      <c r="C140" t="str">
        <f>IF($B140="","",IFERROR(INDEX(Orders!$B:$B,MATCH($B140,Orders!$A:$A,0)),""))</f>
        <v/>
      </c>
      <c r="D140" t="str">
        <f>IF($B140="","",IFERROR(INDEX(Orders!$D:$D,MATCH($B140,Orders!$A:$A,0)),""))</f>
        <v/>
      </c>
      <c r="E140" s="5"/>
      <c r="F140" s="5"/>
    </row>
    <row r="141" spans="1:6">
      <c r="A141" s="4"/>
      <c r="C141" t="str">
        <f>IF($B141="","",IFERROR(INDEX(Orders!$B:$B,MATCH($B141,Orders!$A:$A,0)),""))</f>
        <v/>
      </c>
      <c r="D141" t="str">
        <f>IF($B141="","",IFERROR(INDEX(Orders!$D:$D,MATCH($B141,Orders!$A:$A,0)),""))</f>
        <v/>
      </c>
      <c r="E141" s="5"/>
      <c r="F141" s="5"/>
    </row>
    <row r="142" spans="1:6">
      <c r="A142" s="4"/>
      <c r="C142" t="str">
        <f>IF($B142="","",IFERROR(INDEX(Orders!$B:$B,MATCH($B142,Orders!$A:$A,0)),""))</f>
        <v/>
      </c>
      <c r="D142" t="str">
        <f>IF($B142="","",IFERROR(INDEX(Orders!$D:$D,MATCH($B142,Orders!$A:$A,0)),""))</f>
        <v/>
      </c>
      <c r="E142" s="5"/>
      <c r="F142" s="5"/>
    </row>
    <row r="143" spans="1:6">
      <c r="A143" s="4"/>
      <c r="C143" t="str">
        <f>IF($B143="","",IFERROR(INDEX(Orders!$B:$B,MATCH($B143,Orders!$A:$A,0)),""))</f>
        <v/>
      </c>
      <c r="D143" t="str">
        <f>IF($B143="","",IFERROR(INDEX(Orders!$D:$D,MATCH($B143,Orders!$A:$A,0)),""))</f>
        <v/>
      </c>
      <c r="E143" s="5"/>
      <c r="F143" s="5"/>
    </row>
    <row r="144" spans="1:6">
      <c r="A144" s="4"/>
      <c r="C144" t="str">
        <f>IF($B144="","",IFERROR(INDEX(Orders!$B:$B,MATCH($B144,Orders!$A:$A,0)),""))</f>
        <v/>
      </c>
      <c r="D144" t="str">
        <f>IF($B144="","",IFERROR(INDEX(Orders!$D:$D,MATCH($B144,Orders!$A:$A,0)),""))</f>
        <v/>
      </c>
      <c r="E144" s="5"/>
      <c r="F144" s="5"/>
    </row>
    <row r="145" spans="1:6">
      <c r="A145" s="4"/>
      <c r="C145" t="str">
        <f>IF($B145="","",IFERROR(INDEX(Orders!$B:$B,MATCH($B145,Orders!$A:$A,0)),""))</f>
        <v/>
      </c>
      <c r="D145" t="str">
        <f>IF($B145="","",IFERROR(INDEX(Orders!$D:$D,MATCH($B145,Orders!$A:$A,0)),""))</f>
        <v/>
      </c>
      <c r="E145" s="5"/>
      <c r="F145" s="5"/>
    </row>
    <row r="146" spans="1:6">
      <c r="A146" s="4"/>
      <c r="C146" t="str">
        <f>IF($B146="","",IFERROR(INDEX(Orders!$B:$B,MATCH($B146,Orders!$A:$A,0)),""))</f>
        <v/>
      </c>
      <c r="D146" t="str">
        <f>IF($B146="","",IFERROR(INDEX(Orders!$D:$D,MATCH($B146,Orders!$A:$A,0)),""))</f>
        <v/>
      </c>
      <c r="E146" s="5"/>
      <c r="F146" s="5"/>
    </row>
    <row r="147" spans="1:6">
      <c r="A147" s="4"/>
      <c r="C147" t="str">
        <f>IF($B147="","",IFERROR(INDEX(Orders!$B:$B,MATCH($B147,Orders!$A:$A,0)),""))</f>
        <v/>
      </c>
      <c r="D147" t="str">
        <f>IF($B147="","",IFERROR(INDEX(Orders!$D:$D,MATCH($B147,Orders!$A:$A,0)),""))</f>
        <v/>
      </c>
      <c r="E147" s="5"/>
      <c r="F147" s="5"/>
    </row>
    <row r="148" spans="1:6">
      <c r="A148" s="4"/>
      <c r="C148" t="str">
        <f>IF($B148="","",IFERROR(INDEX(Orders!$B:$B,MATCH($B148,Orders!$A:$A,0)),""))</f>
        <v/>
      </c>
      <c r="D148" t="str">
        <f>IF($B148="","",IFERROR(INDEX(Orders!$D:$D,MATCH($B148,Orders!$A:$A,0)),""))</f>
        <v/>
      </c>
      <c r="E148" s="5"/>
      <c r="F148" s="5"/>
    </row>
    <row r="149" spans="1:6">
      <c r="A149" s="4"/>
      <c r="C149" t="str">
        <f>IF($B149="","",IFERROR(INDEX(Orders!$B:$B,MATCH($B149,Orders!$A:$A,0)),""))</f>
        <v/>
      </c>
      <c r="D149" t="str">
        <f>IF($B149="","",IFERROR(INDEX(Orders!$D:$D,MATCH($B149,Orders!$A:$A,0)),""))</f>
        <v/>
      </c>
      <c r="E149" s="5"/>
      <c r="F149" s="5"/>
    </row>
    <row r="150" spans="1:6">
      <c r="A150" s="4"/>
      <c r="C150" t="str">
        <f>IF($B150="","",IFERROR(INDEX(Orders!$B:$B,MATCH($B150,Orders!$A:$A,0)),""))</f>
        <v/>
      </c>
      <c r="D150" t="str">
        <f>IF($B150="","",IFERROR(INDEX(Orders!$D:$D,MATCH($B150,Orders!$A:$A,0)),""))</f>
        <v/>
      </c>
      <c r="E150" s="5"/>
      <c r="F150" s="5"/>
    </row>
    <row r="151" spans="1:6">
      <c r="A151" s="4"/>
      <c r="C151" t="str">
        <f>IF($B151="","",IFERROR(INDEX(Orders!$B:$B,MATCH($B151,Orders!$A:$A,0)),""))</f>
        <v/>
      </c>
      <c r="D151" t="str">
        <f>IF($B151="","",IFERROR(INDEX(Orders!$D:$D,MATCH($B151,Orders!$A:$A,0)),""))</f>
        <v/>
      </c>
      <c r="E151" s="5"/>
      <c r="F151" s="5"/>
    </row>
    <row r="152" spans="1:6">
      <c r="A152" s="4"/>
      <c r="C152" t="str">
        <f>IF($B152="","",IFERROR(INDEX(Orders!$B:$B,MATCH($B152,Orders!$A:$A,0)),""))</f>
        <v/>
      </c>
      <c r="D152" t="str">
        <f>IF($B152="","",IFERROR(INDEX(Orders!$D:$D,MATCH($B152,Orders!$A:$A,0)),""))</f>
        <v/>
      </c>
      <c r="E152" s="5"/>
      <c r="F152" s="5"/>
    </row>
    <row r="153" spans="1:6">
      <c r="A153" s="4"/>
      <c r="C153" t="str">
        <f>IF($B153="","",IFERROR(INDEX(Orders!$B:$B,MATCH($B153,Orders!$A:$A,0)),""))</f>
        <v/>
      </c>
      <c r="D153" t="str">
        <f>IF($B153="","",IFERROR(INDEX(Orders!$D:$D,MATCH($B153,Orders!$A:$A,0)),""))</f>
        <v/>
      </c>
      <c r="E153" s="5"/>
      <c r="F153" s="5"/>
    </row>
    <row r="154" spans="1:6">
      <c r="A154" s="4"/>
      <c r="C154" t="str">
        <f>IF($B154="","",IFERROR(INDEX(Orders!$B:$B,MATCH($B154,Orders!$A:$A,0)),""))</f>
        <v/>
      </c>
      <c r="D154" t="str">
        <f>IF($B154="","",IFERROR(INDEX(Orders!$D:$D,MATCH($B154,Orders!$A:$A,0)),""))</f>
        <v/>
      </c>
      <c r="E154" s="5"/>
      <c r="F154" s="5"/>
    </row>
    <row r="155" spans="1:6">
      <c r="A155" s="4"/>
      <c r="C155" t="str">
        <f>IF($B155="","",IFERROR(INDEX(Orders!$B:$B,MATCH($B155,Orders!$A:$A,0)),""))</f>
        <v/>
      </c>
      <c r="D155" t="str">
        <f>IF($B155="","",IFERROR(INDEX(Orders!$D:$D,MATCH($B155,Orders!$A:$A,0)),""))</f>
        <v/>
      </c>
      <c r="E155" s="5"/>
      <c r="F155" s="5"/>
    </row>
    <row r="156" spans="1:6">
      <c r="A156" s="4"/>
      <c r="C156" t="str">
        <f>IF($B156="","",IFERROR(INDEX(Orders!$B:$B,MATCH($B156,Orders!$A:$A,0)),""))</f>
        <v/>
      </c>
      <c r="D156" t="str">
        <f>IF($B156="","",IFERROR(INDEX(Orders!$D:$D,MATCH($B156,Orders!$A:$A,0)),""))</f>
        <v/>
      </c>
      <c r="E156" s="5"/>
      <c r="F156" s="5"/>
    </row>
    <row r="157" spans="1:6">
      <c r="A157" s="4"/>
      <c r="C157" t="str">
        <f>IF($B157="","",IFERROR(INDEX(Orders!$B:$B,MATCH($B157,Orders!$A:$A,0)),""))</f>
        <v/>
      </c>
      <c r="D157" t="str">
        <f>IF($B157="","",IFERROR(INDEX(Orders!$D:$D,MATCH($B157,Orders!$A:$A,0)),""))</f>
        <v/>
      </c>
      <c r="E157" s="5"/>
      <c r="F157" s="5"/>
    </row>
    <row r="158" spans="1:6">
      <c r="A158" s="4"/>
      <c r="C158" t="str">
        <f>IF($B158="","",IFERROR(INDEX(Orders!$B:$B,MATCH($B158,Orders!$A:$A,0)),""))</f>
        <v/>
      </c>
      <c r="D158" t="str">
        <f>IF($B158="","",IFERROR(INDEX(Orders!$D:$D,MATCH($B158,Orders!$A:$A,0)),""))</f>
        <v/>
      </c>
      <c r="E158" s="5"/>
      <c r="F158" s="5"/>
    </row>
    <row r="159" spans="1:6">
      <c r="A159" s="4"/>
      <c r="C159" t="str">
        <f>IF($B159="","",IFERROR(INDEX(Orders!$B:$B,MATCH($B159,Orders!$A:$A,0)),""))</f>
        <v/>
      </c>
      <c r="D159" t="str">
        <f>IF($B159="","",IFERROR(INDEX(Orders!$D:$D,MATCH($B159,Orders!$A:$A,0)),""))</f>
        <v/>
      </c>
      <c r="E159" s="5"/>
      <c r="F159" s="5"/>
    </row>
    <row r="160" spans="1:6">
      <c r="A160" s="4"/>
      <c r="C160" t="str">
        <f>IF($B160="","",IFERROR(INDEX(Orders!$B:$B,MATCH($B160,Orders!$A:$A,0)),""))</f>
        <v/>
      </c>
      <c r="D160" t="str">
        <f>IF($B160="","",IFERROR(INDEX(Orders!$D:$D,MATCH($B160,Orders!$A:$A,0)),""))</f>
        <v/>
      </c>
      <c r="E160" s="5"/>
      <c r="F160" s="5"/>
    </row>
    <row r="161" spans="1:6">
      <c r="A161" s="4"/>
      <c r="C161" t="str">
        <f>IF($B161="","",IFERROR(INDEX(Orders!$B:$B,MATCH($B161,Orders!$A:$A,0)),""))</f>
        <v/>
      </c>
      <c r="D161" t="str">
        <f>IF($B161="","",IFERROR(INDEX(Orders!$D:$D,MATCH($B161,Orders!$A:$A,0)),""))</f>
        <v/>
      </c>
      <c r="E161" s="5"/>
      <c r="F161" s="5"/>
    </row>
    <row r="162" spans="1:6">
      <c r="A162" s="4"/>
      <c r="C162" t="str">
        <f>IF($B162="","",IFERROR(INDEX(Orders!$B:$B,MATCH($B162,Orders!$A:$A,0)),""))</f>
        <v/>
      </c>
      <c r="D162" t="str">
        <f>IF($B162="","",IFERROR(INDEX(Orders!$D:$D,MATCH($B162,Orders!$A:$A,0)),""))</f>
        <v/>
      </c>
      <c r="E162" s="5"/>
      <c r="F162" s="5"/>
    </row>
    <row r="163" spans="1:6">
      <c r="A163" s="4"/>
      <c r="C163" t="str">
        <f>IF($B163="","",IFERROR(INDEX(Orders!$B:$B,MATCH($B163,Orders!$A:$A,0)),""))</f>
        <v/>
      </c>
      <c r="D163" t="str">
        <f>IF($B163="","",IFERROR(INDEX(Orders!$D:$D,MATCH($B163,Orders!$A:$A,0)),""))</f>
        <v/>
      </c>
      <c r="E163" s="5"/>
      <c r="F163" s="5"/>
    </row>
    <row r="164" spans="1:6">
      <c r="A164" s="4"/>
      <c r="C164" t="str">
        <f>IF($B164="","",IFERROR(INDEX(Orders!$B:$B,MATCH($B164,Orders!$A:$A,0)),""))</f>
        <v/>
      </c>
      <c r="D164" t="str">
        <f>IF($B164="","",IFERROR(INDEX(Orders!$D:$D,MATCH($B164,Orders!$A:$A,0)),""))</f>
        <v/>
      </c>
      <c r="E164" s="5"/>
      <c r="F164" s="5"/>
    </row>
    <row r="165" spans="1:6">
      <c r="A165" s="4"/>
      <c r="C165" t="str">
        <f>IF($B165="","",IFERROR(INDEX(Orders!$B:$B,MATCH($B165,Orders!$A:$A,0)),""))</f>
        <v/>
      </c>
      <c r="D165" t="str">
        <f>IF($B165="","",IFERROR(INDEX(Orders!$D:$D,MATCH($B165,Orders!$A:$A,0)),""))</f>
        <v/>
      </c>
      <c r="E165" s="5"/>
      <c r="F165" s="5"/>
    </row>
    <row r="166" spans="1:6">
      <c r="A166" s="4"/>
      <c r="C166" t="str">
        <f>IF($B166="","",IFERROR(INDEX(Orders!$B:$B,MATCH($B166,Orders!$A:$A,0)),""))</f>
        <v/>
      </c>
      <c r="D166" t="str">
        <f>IF($B166="","",IFERROR(INDEX(Orders!$D:$D,MATCH($B166,Orders!$A:$A,0)),""))</f>
        <v/>
      </c>
      <c r="E166" s="5"/>
      <c r="F166" s="5"/>
    </row>
    <row r="167" spans="1:6">
      <c r="A167" s="4"/>
      <c r="C167" t="str">
        <f>IF($B167="","",IFERROR(INDEX(Orders!$B:$B,MATCH($B167,Orders!$A:$A,0)),""))</f>
        <v/>
      </c>
      <c r="D167" t="str">
        <f>IF($B167="","",IFERROR(INDEX(Orders!$D:$D,MATCH($B167,Orders!$A:$A,0)),""))</f>
        <v/>
      </c>
      <c r="E167" s="5"/>
      <c r="F167" s="5"/>
    </row>
    <row r="168" spans="1:6">
      <c r="A168" s="4"/>
      <c r="C168" t="str">
        <f>IF($B168="","",IFERROR(INDEX(Orders!$B:$B,MATCH($B168,Orders!$A:$A,0)),""))</f>
        <v/>
      </c>
      <c r="D168" t="str">
        <f>IF($B168="","",IFERROR(INDEX(Orders!$D:$D,MATCH($B168,Orders!$A:$A,0)),""))</f>
        <v/>
      </c>
      <c r="E168" s="5"/>
      <c r="F168" s="5"/>
    </row>
    <row r="169" spans="1:6">
      <c r="A169" s="4"/>
      <c r="C169" t="str">
        <f>IF($B169="","",IFERROR(INDEX(Orders!$B:$B,MATCH($B169,Orders!$A:$A,0)),""))</f>
        <v/>
      </c>
      <c r="D169" t="str">
        <f>IF($B169="","",IFERROR(INDEX(Orders!$D:$D,MATCH($B169,Orders!$A:$A,0)),""))</f>
        <v/>
      </c>
      <c r="E169" s="5"/>
      <c r="F169" s="5"/>
    </row>
    <row r="170" spans="1:6">
      <c r="A170" s="4"/>
      <c r="C170" t="str">
        <f>IF($B170="","",IFERROR(INDEX(Orders!$B:$B,MATCH($B170,Orders!$A:$A,0)),""))</f>
        <v/>
      </c>
      <c r="D170" t="str">
        <f>IF($B170="","",IFERROR(INDEX(Orders!$D:$D,MATCH($B170,Orders!$A:$A,0)),""))</f>
        <v/>
      </c>
      <c r="E170" s="5"/>
      <c r="F170" s="5"/>
    </row>
    <row r="171" spans="1:6">
      <c r="A171" s="4"/>
      <c r="C171" t="str">
        <f>IF($B171="","",IFERROR(INDEX(Orders!$B:$B,MATCH($B171,Orders!$A:$A,0)),""))</f>
        <v/>
      </c>
      <c r="D171" t="str">
        <f>IF($B171="","",IFERROR(INDEX(Orders!$D:$D,MATCH($B171,Orders!$A:$A,0)),""))</f>
        <v/>
      </c>
      <c r="E171" s="5"/>
      <c r="F171" s="5"/>
    </row>
    <row r="172" spans="1:6">
      <c r="A172" s="4"/>
      <c r="C172" t="str">
        <f>IF($B172="","",IFERROR(INDEX(Orders!$B:$B,MATCH($B172,Orders!$A:$A,0)),""))</f>
        <v/>
      </c>
      <c r="D172" t="str">
        <f>IF($B172="","",IFERROR(INDEX(Orders!$D:$D,MATCH($B172,Orders!$A:$A,0)),""))</f>
        <v/>
      </c>
      <c r="E172" s="5"/>
      <c r="F172" s="5"/>
    </row>
    <row r="173" spans="1:6">
      <c r="A173" s="4"/>
      <c r="C173" t="str">
        <f>IF($B173="","",IFERROR(INDEX(Orders!$B:$B,MATCH($B173,Orders!$A:$A,0)),""))</f>
        <v/>
      </c>
      <c r="D173" t="str">
        <f>IF($B173="","",IFERROR(INDEX(Orders!$D:$D,MATCH($B173,Orders!$A:$A,0)),""))</f>
        <v/>
      </c>
      <c r="E173" s="5"/>
      <c r="F173" s="5"/>
    </row>
    <row r="174" spans="1:6">
      <c r="A174" s="4"/>
      <c r="C174" t="str">
        <f>IF($B174="","",IFERROR(INDEX(Orders!$B:$B,MATCH($B174,Orders!$A:$A,0)),""))</f>
        <v/>
      </c>
      <c r="D174" t="str">
        <f>IF($B174="","",IFERROR(INDEX(Orders!$D:$D,MATCH($B174,Orders!$A:$A,0)),""))</f>
        <v/>
      </c>
      <c r="E174" s="5"/>
      <c r="F174" s="5"/>
    </row>
    <row r="175" spans="1:6">
      <c r="A175" s="4"/>
      <c r="C175" t="str">
        <f>IF($B175="","",IFERROR(INDEX(Orders!$B:$B,MATCH($B175,Orders!$A:$A,0)),""))</f>
        <v/>
      </c>
      <c r="D175" t="str">
        <f>IF($B175="","",IFERROR(INDEX(Orders!$D:$D,MATCH($B175,Orders!$A:$A,0)),""))</f>
        <v/>
      </c>
      <c r="E175" s="5"/>
      <c r="F175" s="5"/>
    </row>
    <row r="176" spans="1:6">
      <c r="A176" s="4"/>
      <c r="C176" t="str">
        <f>IF($B176="","",IFERROR(INDEX(Orders!$B:$B,MATCH($B176,Orders!$A:$A,0)),""))</f>
        <v/>
      </c>
      <c r="D176" t="str">
        <f>IF($B176="","",IFERROR(INDEX(Orders!$D:$D,MATCH($B176,Orders!$A:$A,0)),""))</f>
        <v/>
      </c>
      <c r="E176" s="5"/>
      <c r="F176" s="5"/>
    </row>
    <row r="177" spans="1:6">
      <c r="A177" s="4"/>
      <c r="C177" t="str">
        <f>IF($B177="","",IFERROR(INDEX(Orders!$B:$B,MATCH($B177,Orders!$A:$A,0)),""))</f>
        <v/>
      </c>
      <c r="D177" t="str">
        <f>IF($B177="","",IFERROR(INDEX(Orders!$D:$D,MATCH($B177,Orders!$A:$A,0)),""))</f>
        <v/>
      </c>
      <c r="E177" s="5"/>
      <c r="F177" s="5"/>
    </row>
    <row r="178" spans="1:6">
      <c r="A178" s="4"/>
      <c r="C178" t="str">
        <f>IF($B178="","",IFERROR(INDEX(Orders!$B:$B,MATCH($B178,Orders!$A:$A,0)),""))</f>
        <v/>
      </c>
      <c r="D178" t="str">
        <f>IF($B178="","",IFERROR(INDEX(Orders!$D:$D,MATCH($B178,Orders!$A:$A,0)),""))</f>
        <v/>
      </c>
      <c r="E178" s="5"/>
      <c r="F178" s="5"/>
    </row>
    <row r="179" spans="1:6">
      <c r="A179" s="4"/>
      <c r="C179" t="str">
        <f>IF($B179="","",IFERROR(INDEX(Orders!$B:$B,MATCH($B179,Orders!$A:$A,0)),""))</f>
        <v/>
      </c>
      <c r="D179" t="str">
        <f>IF($B179="","",IFERROR(INDEX(Orders!$D:$D,MATCH($B179,Orders!$A:$A,0)),""))</f>
        <v/>
      </c>
      <c r="E179" s="5"/>
      <c r="F179" s="5"/>
    </row>
    <row r="180" spans="1:6">
      <c r="A180" s="4"/>
      <c r="C180" t="str">
        <f>IF($B180="","",IFERROR(INDEX(Orders!$B:$B,MATCH($B180,Orders!$A:$A,0)),""))</f>
        <v/>
      </c>
      <c r="D180" t="str">
        <f>IF($B180="","",IFERROR(INDEX(Orders!$D:$D,MATCH($B180,Orders!$A:$A,0)),""))</f>
        <v/>
      </c>
      <c r="E180" s="5"/>
      <c r="F180" s="5"/>
    </row>
    <row r="181" spans="1:6">
      <c r="A181" s="4"/>
      <c r="C181" t="str">
        <f>IF($B181="","",IFERROR(INDEX(Orders!$B:$B,MATCH($B181,Orders!$A:$A,0)),""))</f>
        <v/>
      </c>
      <c r="D181" t="str">
        <f>IF($B181="","",IFERROR(INDEX(Orders!$D:$D,MATCH($B181,Orders!$A:$A,0)),""))</f>
        <v/>
      </c>
      <c r="E181" s="5"/>
      <c r="F181" s="5"/>
    </row>
    <row r="182" spans="1:6">
      <c r="A182" s="4"/>
      <c r="C182" t="str">
        <f>IF($B182="","",IFERROR(INDEX(Orders!$B:$B,MATCH($B182,Orders!$A:$A,0)),""))</f>
        <v/>
      </c>
      <c r="D182" t="str">
        <f>IF($B182="","",IFERROR(INDEX(Orders!$D:$D,MATCH($B182,Orders!$A:$A,0)),""))</f>
        <v/>
      </c>
      <c r="E182" s="5"/>
      <c r="F182" s="5"/>
    </row>
    <row r="183" spans="1:6">
      <c r="A183" s="4"/>
      <c r="C183" t="str">
        <f>IF($B183="","",IFERROR(INDEX(Orders!$B:$B,MATCH($B183,Orders!$A:$A,0)),""))</f>
        <v/>
      </c>
      <c r="D183" t="str">
        <f>IF($B183="","",IFERROR(INDEX(Orders!$D:$D,MATCH($B183,Orders!$A:$A,0)),""))</f>
        <v/>
      </c>
      <c r="E183" s="5"/>
      <c r="F183" s="5"/>
    </row>
    <row r="184" spans="1:6">
      <c r="A184" s="4"/>
      <c r="C184" t="str">
        <f>IF($B184="","",IFERROR(INDEX(Orders!$B:$B,MATCH($B184,Orders!$A:$A,0)),""))</f>
        <v/>
      </c>
      <c r="D184" t="str">
        <f>IF($B184="","",IFERROR(INDEX(Orders!$D:$D,MATCH($B184,Orders!$A:$A,0)),""))</f>
        <v/>
      </c>
      <c r="E184" s="5"/>
      <c r="F184" s="5"/>
    </row>
    <row r="185" spans="1:6">
      <c r="A185" s="4"/>
      <c r="C185" t="str">
        <f>IF($B185="","",IFERROR(INDEX(Orders!$B:$B,MATCH($B185,Orders!$A:$A,0)),""))</f>
        <v/>
      </c>
      <c r="D185" t="str">
        <f>IF($B185="","",IFERROR(INDEX(Orders!$D:$D,MATCH($B185,Orders!$A:$A,0)),""))</f>
        <v/>
      </c>
      <c r="E185" s="5"/>
      <c r="F185" s="5"/>
    </row>
    <row r="186" spans="1:6">
      <c r="A186" s="4"/>
      <c r="C186" t="str">
        <f>IF($B186="","",IFERROR(INDEX(Orders!$B:$B,MATCH($B186,Orders!$A:$A,0)),""))</f>
        <v/>
      </c>
      <c r="D186" t="str">
        <f>IF($B186="","",IFERROR(INDEX(Orders!$D:$D,MATCH($B186,Orders!$A:$A,0)),""))</f>
        <v/>
      </c>
      <c r="E186" s="5"/>
      <c r="F186" s="5"/>
    </row>
    <row r="187" spans="1:6">
      <c r="A187" s="4"/>
      <c r="C187" t="str">
        <f>IF($B187="","",IFERROR(INDEX(Orders!$B:$B,MATCH($B187,Orders!$A:$A,0)),""))</f>
        <v/>
      </c>
      <c r="D187" t="str">
        <f>IF($B187="","",IFERROR(INDEX(Orders!$D:$D,MATCH($B187,Orders!$A:$A,0)),""))</f>
        <v/>
      </c>
      <c r="E187" s="5"/>
      <c r="F187" s="5"/>
    </row>
    <row r="188" spans="1:6">
      <c r="A188" s="4"/>
      <c r="C188" t="str">
        <f>IF($B188="","",IFERROR(INDEX(Orders!$B:$B,MATCH($B188,Orders!$A:$A,0)),""))</f>
        <v/>
      </c>
      <c r="D188" t="str">
        <f>IF($B188="","",IFERROR(INDEX(Orders!$D:$D,MATCH($B188,Orders!$A:$A,0)),""))</f>
        <v/>
      </c>
      <c r="E188" s="5"/>
      <c r="F188" s="5"/>
    </row>
    <row r="189" spans="1:6">
      <c r="A189" s="4"/>
      <c r="C189" t="str">
        <f>IF($B189="","",IFERROR(INDEX(Orders!$B:$B,MATCH($B189,Orders!$A:$A,0)),""))</f>
        <v/>
      </c>
      <c r="D189" t="str">
        <f>IF($B189="","",IFERROR(INDEX(Orders!$D:$D,MATCH($B189,Orders!$A:$A,0)),""))</f>
        <v/>
      </c>
      <c r="E189" s="5"/>
      <c r="F189" s="5"/>
    </row>
    <row r="190" spans="1:6">
      <c r="A190" s="4"/>
      <c r="C190" t="str">
        <f>IF($B190="","",IFERROR(INDEX(Orders!$B:$B,MATCH($B190,Orders!$A:$A,0)),""))</f>
        <v/>
      </c>
      <c r="D190" t="str">
        <f>IF($B190="","",IFERROR(INDEX(Orders!$D:$D,MATCH($B190,Orders!$A:$A,0)),""))</f>
        <v/>
      </c>
      <c r="E190" s="5"/>
      <c r="F190" s="5"/>
    </row>
    <row r="191" spans="1:6">
      <c r="A191" s="4"/>
      <c r="C191" t="str">
        <f>IF($B191="","",IFERROR(INDEX(Orders!$B:$B,MATCH($B191,Orders!$A:$A,0)),""))</f>
        <v/>
      </c>
      <c r="D191" t="str">
        <f>IF($B191="","",IFERROR(INDEX(Orders!$D:$D,MATCH($B191,Orders!$A:$A,0)),""))</f>
        <v/>
      </c>
      <c r="E191" s="5"/>
      <c r="F191" s="5"/>
    </row>
    <row r="192" spans="1:6">
      <c r="A192" s="4"/>
      <c r="C192" t="str">
        <f>IF($B192="","",IFERROR(INDEX(Orders!$B:$B,MATCH($B192,Orders!$A:$A,0)),""))</f>
        <v/>
      </c>
      <c r="D192" t="str">
        <f>IF($B192="","",IFERROR(INDEX(Orders!$D:$D,MATCH($B192,Orders!$A:$A,0)),""))</f>
        <v/>
      </c>
      <c r="E192" s="5"/>
      <c r="F192" s="5"/>
    </row>
    <row r="193" spans="1:6">
      <c r="A193" s="4"/>
      <c r="C193" t="str">
        <f>IF($B193="","",IFERROR(INDEX(Orders!$B:$B,MATCH($B193,Orders!$A:$A,0)),""))</f>
        <v/>
      </c>
      <c r="D193" t="str">
        <f>IF($B193="","",IFERROR(INDEX(Orders!$D:$D,MATCH($B193,Orders!$A:$A,0)),""))</f>
        <v/>
      </c>
      <c r="E193" s="5"/>
      <c r="F193" s="5"/>
    </row>
    <row r="194" spans="1:6">
      <c r="A194" s="4"/>
      <c r="C194" t="str">
        <f>IF($B194="","",IFERROR(INDEX(Orders!$B:$B,MATCH($B194,Orders!$A:$A,0)),""))</f>
        <v/>
      </c>
      <c r="D194" t="str">
        <f>IF($B194="","",IFERROR(INDEX(Orders!$D:$D,MATCH($B194,Orders!$A:$A,0)),""))</f>
        <v/>
      </c>
      <c r="E194" s="5"/>
      <c r="F194" s="5"/>
    </row>
    <row r="195" spans="1:6">
      <c r="A195" s="4"/>
      <c r="C195" t="str">
        <f>IF($B195="","",IFERROR(INDEX(Orders!$B:$B,MATCH($B195,Orders!$A:$A,0)),""))</f>
        <v/>
      </c>
      <c r="D195" t="str">
        <f>IF($B195="","",IFERROR(INDEX(Orders!$D:$D,MATCH($B195,Orders!$A:$A,0)),""))</f>
        <v/>
      </c>
      <c r="E195" s="5"/>
      <c r="F195" s="5"/>
    </row>
    <row r="196" spans="1:6">
      <c r="A196" s="4"/>
      <c r="C196" t="str">
        <f>IF($B196="","",IFERROR(INDEX(Orders!$B:$B,MATCH($B196,Orders!$A:$A,0)),""))</f>
        <v/>
      </c>
      <c r="D196" t="str">
        <f>IF($B196="","",IFERROR(INDEX(Orders!$D:$D,MATCH($B196,Orders!$A:$A,0)),""))</f>
        <v/>
      </c>
      <c r="E196" s="5"/>
      <c r="F196" s="5"/>
    </row>
    <row r="197" spans="1:6">
      <c r="A197" s="4"/>
      <c r="C197" t="str">
        <f>IF($B197="","",IFERROR(INDEX(Orders!$B:$B,MATCH($B197,Orders!$A:$A,0)),""))</f>
        <v/>
      </c>
      <c r="D197" t="str">
        <f>IF($B197="","",IFERROR(INDEX(Orders!$D:$D,MATCH($B197,Orders!$A:$A,0)),""))</f>
        <v/>
      </c>
      <c r="E197" s="5"/>
      <c r="F197" s="5"/>
    </row>
    <row r="198" spans="1:6">
      <c r="A198" s="4"/>
      <c r="C198" t="str">
        <f>IF($B198="","",IFERROR(INDEX(Orders!$B:$B,MATCH($B198,Orders!$A:$A,0)),""))</f>
        <v/>
      </c>
      <c r="D198" t="str">
        <f>IF($B198="","",IFERROR(INDEX(Orders!$D:$D,MATCH($B198,Orders!$A:$A,0)),""))</f>
        <v/>
      </c>
      <c r="E198" s="5"/>
      <c r="F198" s="5"/>
    </row>
    <row r="199" spans="1:6">
      <c r="A199" s="4"/>
      <c r="C199" t="str">
        <f>IF($B199="","",IFERROR(INDEX(Orders!$B:$B,MATCH($B199,Orders!$A:$A,0)),""))</f>
        <v/>
      </c>
      <c r="D199" t="str">
        <f>IF($B199="","",IFERROR(INDEX(Orders!$D:$D,MATCH($B199,Orders!$A:$A,0)),""))</f>
        <v/>
      </c>
      <c r="E199" s="5"/>
      <c r="F199" s="5"/>
    </row>
    <row r="200" spans="1:6">
      <c r="A200" s="4"/>
      <c r="C200" t="str">
        <f>IF($B200="","",IFERROR(INDEX(Orders!$B:$B,MATCH($B200,Orders!$A:$A,0)),""))</f>
        <v/>
      </c>
      <c r="D200" t="str">
        <f>IF($B200="","",IFERROR(INDEX(Orders!$D:$D,MATCH($B200,Orders!$A:$A,0)),""))</f>
        <v/>
      </c>
      <c r="E200" s="5"/>
      <c r="F200" s="5"/>
    </row>
    <row r="201" spans="1:6">
      <c r="A201" s="4"/>
      <c r="C201" t="str">
        <f>IF($B201="","",IFERROR(INDEX(Orders!$B:$B,MATCH($B201,Orders!$A:$A,0)),""))</f>
        <v/>
      </c>
      <c r="D201" t="str">
        <f>IF($B201="","",IFERROR(INDEX(Orders!$D:$D,MATCH($B201,Orders!$A:$A,0)),""))</f>
        <v/>
      </c>
      <c r="E201" s="5"/>
      <c r="F201" s="5"/>
    </row>
    <row r="202" spans="1:6">
      <c r="A202" s="4"/>
      <c r="C202" t="str">
        <f>IF($B202="","",IFERROR(INDEX(Orders!$B:$B,MATCH($B202,Orders!$A:$A,0)),""))</f>
        <v/>
      </c>
      <c r="D202" t="str">
        <f>IF($B202="","",IFERROR(INDEX(Orders!$D:$D,MATCH($B202,Orders!$A:$A,0)),""))</f>
        <v/>
      </c>
      <c r="E202" s="5"/>
      <c r="F202" s="5"/>
    </row>
    <row r="203" spans="1:6">
      <c r="A203" s="4"/>
      <c r="C203" t="str">
        <f>IF($B203="","",IFERROR(INDEX(Orders!$B:$B,MATCH($B203,Orders!$A:$A,0)),""))</f>
        <v/>
      </c>
      <c r="D203" t="str">
        <f>IF($B203="","",IFERROR(INDEX(Orders!$D:$D,MATCH($B203,Orders!$A:$A,0)),""))</f>
        <v/>
      </c>
      <c r="E203" s="5"/>
      <c r="F203" s="5"/>
    </row>
    <row r="204" spans="1:6">
      <c r="A204" s="4"/>
      <c r="C204" t="str">
        <f>IF($B204="","",IFERROR(INDEX(Orders!$B:$B,MATCH($B204,Orders!$A:$A,0)),""))</f>
        <v/>
      </c>
      <c r="D204" t="str">
        <f>IF($B204="","",IFERROR(INDEX(Orders!$D:$D,MATCH($B204,Orders!$A:$A,0)),""))</f>
        <v/>
      </c>
      <c r="E204" s="5"/>
      <c r="F204" s="5"/>
    </row>
    <row r="205" spans="1:6">
      <c r="A205" s="4"/>
      <c r="C205" t="str">
        <f>IF($B205="","",IFERROR(INDEX(Orders!$B:$B,MATCH($B205,Orders!$A:$A,0)),""))</f>
        <v/>
      </c>
      <c r="D205" t="str">
        <f>IF($B205="","",IFERROR(INDEX(Orders!$D:$D,MATCH($B205,Orders!$A:$A,0)),""))</f>
        <v/>
      </c>
      <c r="E205" s="5"/>
      <c r="F205" s="5"/>
    </row>
    <row r="206" spans="1:6">
      <c r="A206" s="4"/>
      <c r="C206" t="str">
        <f>IF($B206="","",IFERROR(INDEX(Orders!$B:$B,MATCH($B206,Orders!$A:$A,0)),""))</f>
        <v/>
      </c>
      <c r="D206" t="str">
        <f>IF($B206="","",IFERROR(INDEX(Orders!$D:$D,MATCH($B206,Orders!$A:$A,0)),""))</f>
        <v/>
      </c>
      <c r="E206" s="5"/>
      <c r="F206" s="5"/>
    </row>
    <row r="207" spans="1:6">
      <c r="A207" s="4"/>
      <c r="C207" t="str">
        <f>IF($B207="","",IFERROR(INDEX(Orders!$B:$B,MATCH($B207,Orders!$A:$A,0)),""))</f>
        <v/>
      </c>
      <c r="D207" t="str">
        <f>IF($B207="","",IFERROR(INDEX(Orders!$D:$D,MATCH($B207,Orders!$A:$A,0)),""))</f>
        <v/>
      </c>
      <c r="E207" s="5"/>
      <c r="F207" s="5"/>
    </row>
    <row r="208" spans="1:6">
      <c r="A208" s="4"/>
      <c r="C208" t="str">
        <f>IF($B208="","",IFERROR(INDEX(Orders!$B:$B,MATCH($B208,Orders!$A:$A,0)),""))</f>
        <v/>
      </c>
      <c r="D208" t="str">
        <f>IF($B208="","",IFERROR(INDEX(Orders!$D:$D,MATCH($B208,Orders!$A:$A,0)),""))</f>
        <v/>
      </c>
      <c r="E208" s="5"/>
      <c r="F208" s="5"/>
    </row>
    <row r="209" spans="1:6">
      <c r="A209" s="4"/>
      <c r="C209" t="str">
        <f>IF($B209="","",IFERROR(INDEX(Orders!$B:$B,MATCH($B209,Orders!$A:$A,0)),""))</f>
        <v/>
      </c>
      <c r="D209" t="str">
        <f>IF($B209="","",IFERROR(INDEX(Orders!$D:$D,MATCH($B209,Orders!$A:$A,0)),""))</f>
        <v/>
      </c>
      <c r="E209" s="5"/>
      <c r="F209" s="5"/>
    </row>
    <row r="210" spans="1:6">
      <c r="A210" s="4"/>
      <c r="C210" t="str">
        <f>IF($B210="","",IFERROR(INDEX(Orders!$B:$B,MATCH($B210,Orders!$A:$A,0)),""))</f>
        <v/>
      </c>
      <c r="D210" t="str">
        <f>IF($B210="","",IFERROR(INDEX(Orders!$D:$D,MATCH($B210,Orders!$A:$A,0)),""))</f>
        <v/>
      </c>
      <c r="E210" s="5"/>
      <c r="F210" s="5"/>
    </row>
    <row r="211" spans="1:6">
      <c r="A211" s="4"/>
      <c r="C211" t="str">
        <f>IF($B211="","",IFERROR(INDEX(Orders!$B:$B,MATCH($B211,Orders!$A:$A,0)),""))</f>
        <v/>
      </c>
      <c r="D211" t="str">
        <f>IF($B211="","",IFERROR(INDEX(Orders!$D:$D,MATCH($B211,Orders!$A:$A,0)),""))</f>
        <v/>
      </c>
      <c r="E211" s="5"/>
      <c r="F211" s="5"/>
    </row>
    <row r="212" spans="1:6">
      <c r="A212" s="4"/>
      <c r="C212" t="str">
        <f>IF($B212="","",IFERROR(INDEX(Orders!$B:$B,MATCH($B212,Orders!$A:$A,0)),""))</f>
        <v/>
      </c>
      <c r="D212" t="str">
        <f>IF($B212="","",IFERROR(INDEX(Orders!$D:$D,MATCH($B212,Orders!$A:$A,0)),""))</f>
        <v/>
      </c>
      <c r="E212" s="5"/>
      <c r="F212" s="5"/>
    </row>
    <row r="213" spans="1:6">
      <c r="A213" s="4"/>
      <c r="C213" t="str">
        <f>IF($B213="","",IFERROR(INDEX(Orders!$B:$B,MATCH($B213,Orders!$A:$A,0)),""))</f>
        <v/>
      </c>
      <c r="D213" t="str">
        <f>IF($B213="","",IFERROR(INDEX(Orders!$D:$D,MATCH($B213,Orders!$A:$A,0)),""))</f>
        <v/>
      </c>
      <c r="E213" s="5"/>
      <c r="F213" s="5"/>
    </row>
    <row r="214" spans="1:6">
      <c r="A214" s="4"/>
      <c r="C214" t="str">
        <f>IF($B214="","",IFERROR(INDEX(Orders!$B:$B,MATCH($B214,Orders!$A:$A,0)),""))</f>
        <v/>
      </c>
      <c r="D214" t="str">
        <f>IF($B214="","",IFERROR(INDEX(Orders!$D:$D,MATCH($B214,Orders!$A:$A,0)),""))</f>
        <v/>
      </c>
      <c r="E214" s="5"/>
      <c r="F214" s="5"/>
    </row>
    <row r="215" spans="1:6">
      <c r="A215" s="4"/>
      <c r="C215" t="str">
        <f>IF($B215="","",IFERROR(INDEX(Orders!$B:$B,MATCH($B215,Orders!$A:$A,0)),""))</f>
        <v/>
      </c>
      <c r="D215" t="str">
        <f>IF($B215="","",IFERROR(INDEX(Orders!$D:$D,MATCH($B215,Orders!$A:$A,0)),""))</f>
        <v/>
      </c>
      <c r="E215" s="5"/>
      <c r="F215" s="5"/>
    </row>
    <row r="216" spans="1:6">
      <c r="A216" s="4"/>
      <c r="C216" t="str">
        <f>IF($B216="","",IFERROR(INDEX(Orders!$B:$B,MATCH($B216,Orders!$A:$A,0)),""))</f>
        <v/>
      </c>
      <c r="D216" t="str">
        <f>IF($B216="","",IFERROR(INDEX(Orders!$D:$D,MATCH($B216,Orders!$A:$A,0)),""))</f>
        <v/>
      </c>
      <c r="E216" s="5"/>
      <c r="F216" s="5"/>
    </row>
    <row r="217" spans="1:6">
      <c r="A217" s="4"/>
      <c r="C217" t="str">
        <f>IF($B217="","",IFERROR(INDEX(Orders!$B:$B,MATCH($B217,Orders!$A:$A,0)),""))</f>
        <v/>
      </c>
      <c r="D217" t="str">
        <f>IF($B217="","",IFERROR(INDEX(Orders!$D:$D,MATCH($B217,Orders!$A:$A,0)),""))</f>
        <v/>
      </c>
      <c r="E217" s="5"/>
      <c r="F217" s="5"/>
    </row>
    <row r="218" spans="1:6">
      <c r="A218" s="4"/>
      <c r="C218" t="str">
        <f>IF($B218="","",IFERROR(INDEX(Orders!$B:$B,MATCH($B218,Orders!$A:$A,0)),""))</f>
        <v/>
      </c>
      <c r="D218" t="str">
        <f>IF($B218="","",IFERROR(INDEX(Orders!$D:$D,MATCH($B218,Orders!$A:$A,0)),""))</f>
        <v/>
      </c>
      <c r="E218" s="5"/>
      <c r="F218" s="5"/>
    </row>
    <row r="219" spans="1:6">
      <c r="A219" s="4"/>
      <c r="C219" t="str">
        <f>IF($B219="","",IFERROR(INDEX(Orders!$B:$B,MATCH($B219,Orders!$A:$A,0)),""))</f>
        <v/>
      </c>
      <c r="D219" t="str">
        <f>IF($B219="","",IFERROR(INDEX(Orders!$D:$D,MATCH($B219,Orders!$A:$A,0)),""))</f>
        <v/>
      </c>
      <c r="E219" s="5"/>
      <c r="F219" s="5"/>
    </row>
    <row r="220" spans="1:6">
      <c r="A220" s="4"/>
      <c r="C220" t="str">
        <f>IF($B220="","",IFERROR(INDEX(Orders!$B:$B,MATCH($B220,Orders!$A:$A,0)),""))</f>
        <v/>
      </c>
      <c r="D220" t="str">
        <f>IF($B220="","",IFERROR(INDEX(Orders!$D:$D,MATCH($B220,Orders!$A:$A,0)),""))</f>
        <v/>
      </c>
      <c r="E220" s="5"/>
      <c r="F220" s="5"/>
    </row>
    <row r="221" spans="1:6">
      <c r="A221" s="4"/>
      <c r="C221" t="str">
        <f>IF($B221="","",IFERROR(INDEX(Orders!$B:$B,MATCH($B221,Orders!$A:$A,0)),""))</f>
        <v/>
      </c>
      <c r="D221" t="str">
        <f>IF($B221="","",IFERROR(INDEX(Orders!$D:$D,MATCH($B221,Orders!$A:$A,0)),""))</f>
        <v/>
      </c>
      <c r="E221" s="5"/>
      <c r="F221" s="5"/>
    </row>
    <row r="222" spans="1:6">
      <c r="A222" s="4"/>
      <c r="C222" t="str">
        <f>IF($B222="","",IFERROR(INDEX(Orders!$B:$B,MATCH($B222,Orders!$A:$A,0)),""))</f>
        <v/>
      </c>
      <c r="D222" t="str">
        <f>IF($B222="","",IFERROR(INDEX(Orders!$D:$D,MATCH($B222,Orders!$A:$A,0)),""))</f>
        <v/>
      </c>
      <c r="E222" s="5"/>
      <c r="F222" s="5"/>
    </row>
    <row r="223" spans="1:6">
      <c r="A223" s="4"/>
      <c r="C223" t="str">
        <f>IF($B223="","",IFERROR(INDEX(Orders!$B:$B,MATCH($B223,Orders!$A:$A,0)),""))</f>
        <v/>
      </c>
      <c r="D223" t="str">
        <f>IF($B223="","",IFERROR(INDEX(Orders!$D:$D,MATCH($B223,Orders!$A:$A,0)),""))</f>
        <v/>
      </c>
      <c r="E223" s="5"/>
      <c r="F223" s="5"/>
    </row>
    <row r="224" spans="1:6">
      <c r="A224" s="4"/>
      <c r="C224" t="str">
        <f>IF($B224="","",IFERROR(INDEX(Orders!$B:$B,MATCH($B224,Orders!$A:$A,0)),""))</f>
        <v/>
      </c>
      <c r="D224" t="str">
        <f>IF($B224="","",IFERROR(INDEX(Orders!$D:$D,MATCH($B224,Orders!$A:$A,0)),""))</f>
        <v/>
      </c>
      <c r="E224" s="5"/>
      <c r="F224" s="5"/>
    </row>
    <row r="225" spans="1:6">
      <c r="A225" s="4"/>
      <c r="C225" t="str">
        <f>IF($B225="","",IFERROR(INDEX(Orders!$B:$B,MATCH($B225,Orders!$A:$A,0)),""))</f>
        <v/>
      </c>
      <c r="D225" t="str">
        <f>IF($B225="","",IFERROR(INDEX(Orders!$D:$D,MATCH($B225,Orders!$A:$A,0)),""))</f>
        <v/>
      </c>
      <c r="E225" s="5"/>
      <c r="F225" s="5"/>
    </row>
    <row r="226" spans="1:6">
      <c r="A226" s="4"/>
      <c r="C226" t="str">
        <f>IF($B226="","",IFERROR(INDEX(Orders!$B:$B,MATCH($B226,Orders!$A:$A,0)),""))</f>
        <v/>
      </c>
      <c r="D226" t="str">
        <f>IF($B226="","",IFERROR(INDEX(Orders!$D:$D,MATCH($B226,Orders!$A:$A,0)),""))</f>
        <v/>
      </c>
      <c r="E226" s="5"/>
      <c r="F226" s="5"/>
    </row>
    <row r="227" spans="1:6">
      <c r="A227" s="4"/>
      <c r="C227" t="str">
        <f>IF($B227="","",IFERROR(INDEX(Orders!$B:$B,MATCH($B227,Orders!$A:$A,0)),""))</f>
        <v/>
      </c>
      <c r="D227" t="str">
        <f>IF($B227="","",IFERROR(INDEX(Orders!$D:$D,MATCH($B227,Orders!$A:$A,0)),""))</f>
        <v/>
      </c>
      <c r="E227" s="5"/>
      <c r="F227" s="5"/>
    </row>
    <row r="228" spans="1:6">
      <c r="A228" s="4"/>
      <c r="C228" t="str">
        <f>IF($B228="","",IFERROR(INDEX(Orders!$B:$B,MATCH($B228,Orders!$A:$A,0)),""))</f>
        <v/>
      </c>
      <c r="D228" t="str">
        <f>IF($B228="","",IFERROR(INDEX(Orders!$D:$D,MATCH($B228,Orders!$A:$A,0)),""))</f>
        <v/>
      </c>
      <c r="E228" s="5"/>
      <c r="F228" s="5"/>
    </row>
    <row r="229" spans="1:6">
      <c r="A229" s="4"/>
      <c r="C229" t="str">
        <f>IF($B229="","",IFERROR(INDEX(Orders!$B:$B,MATCH($B229,Orders!$A:$A,0)),""))</f>
        <v/>
      </c>
      <c r="D229" t="str">
        <f>IF($B229="","",IFERROR(INDEX(Orders!$D:$D,MATCH($B229,Orders!$A:$A,0)),""))</f>
        <v/>
      </c>
      <c r="E229" s="5"/>
      <c r="F229" s="5"/>
    </row>
    <row r="230" spans="1:6">
      <c r="A230" s="4"/>
      <c r="C230" t="str">
        <f>IF($B230="","",IFERROR(INDEX(Orders!$B:$B,MATCH($B230,Orders!$A:$A,0)),""))</f>
        <v/>
      </c>
      <c r="D230" t="str">
        <f>IF($B230="","",IFERROR(INDEX(Orders!$D:$D,MATCH($B230,Orders!$A:$A,0)),""))</f>
        <v/>
      </c>
      <c r="E230" s="5"/>
      <c r="F230" s="5"/>
    </row>
    <row r="231" spans="1:6">
      <c r="A231" s="4"/>
      <c r="C231" t="str">
        <f>IF($B231="","",IFERROR(INDEX(Orders!$B:$B,MATCH($B231,Orders!$A:$A,0)),""))</f>
        <v/>
      </c>
      <c r="D231" t="str">
        <f>IF($B231="","",IFERROR(INDEX(Orders!$D:$D,MATCH($B231,Orders!$A:$A,0)),""))</f>
        <v/>
      </c>
      <c r="E231" s="5"/>
      <c r="F231" s="5"/>
    </row>
    <row r="232" spans="1:6">
      <c r="A232" s="4"/>
      <c r="C232" t="str">
        <f>IF($B232="","",IFERROR(INDEX(Orders!$B:$B,MATCH($B232,Orders!$A:$A,0)),""))</f>
        <v/>
      </c>
      <c r="D232" t="str">
        <f>IF($B232="","",IFERROR(INDEX(Orders!$D:$D,MATCH($B232,Orders!$A:$A,0)),""))</f>
        <v/>
      </c>
      <c r="E232" s="5"/>
      <c r="F232" s="5"/>
    </row>
    <row r="233" spans="1:6">
      <c r="A233" s="4"/>
      <c r="C233" t="str">
        <f>IF($B233="","",IFERROR(INDEX(Orders!$B:$B,MATCH($B233,Orders!$A:$A,0)),""))</f>
        <v/>
      </c>
      <c r="D233" t="str">
        <f>IF($B233="","",IFERROR(INDEX(Orders!$D:$D,MATCH($B233,Orders!$A:$A,0)),""))</f>
        <v/>
      </c>
      <c r="E233" s="5"/>
      <c r="F233" s="5"/>
    </row>
    <row r="234" spans="1:6">
      <c r="A234" s="4"/>
      <c r="C234" t="str">
        <f>IF($B234="","",IFERROR(INDEX(Orders!$B:$B,MATCH($B234,Orders!$A:$A,0)),""))</f>
        <v/>
      </c>
      <c r="D234" t="str">
        <f>IF($B234="","",IFERROR(INDEX(Orders!$D:$D,MATCH($B234,Orders!$A:$A,0)),""))</f>
        <v/>
      </c>
      <c r="E234" s="5"/>
      <c r="F234" s="5"/>
    </row>
    <row r="235" spans="1:6">
      <c r="A235" s="4"/>
      <c r="C235" t="str">
        <f>IF($B235="","",IFERROR(INDEX(Orders!$B:$B,MATCH($B235,Orders!$A:$A,0)),""))</f>
        <v/>
      </c>
      <c r="D235" t="str">
        <f>IF($B235="","",IFERROR(INDEX(Orders!$D:$D,MATCH($B235,Orders!$A:$A,0)),""))</f>
        <v/>
      </c>
      <c r="E235" s="5"/>
      <c r="F235" s="5"/>
    </row>
    <row r="236" spans="1:6">
      <c r="A236" s="4"/>
      <c r="C236" t="str">
        <f>IF($B236="","",IFERROR(INDEX(Orders!$B:$B,MATCH($B236,Orders!$A:$A,0)),""))</f>
        <v/>
      </c>
      <c r="D236" t="str">
        <f>IF($B236="","",IFERROR(INDEX(Orders!$D:$D,MATCH($B236,Orders!$A:$A,0)),""))</f>
        <v/>
      </c>
      <c r="E236" s="5"/>
      <c r="F236" s="5"/>
    </row>
    <row r="237" spans="1:6">
      <c r="A237" s="4"/>
      <c r="C237" t="str">
        <f>IF($B237="","",IFERROR(INDEX(Orders!$B:$B,MATCH($B237,Orders!$A:$A,0)),""))</f>
        <v/>
      </c>
      <c r="D237" t="str">
        <f>IF($B237="","",IFERROR(INDEX(Orders!$D:$D,MATCH($B237,Orders!$A:$A,0)),""))</f>
        <v/>
      </c>
      <c r="E237" s="5"/>
      <c r="F237" s="5"/>
    </row>
    <row r="238" spans="1:6">
      <c r="A238" s="4"/>
      <c r="C238" t="str">
        <f>IF($B238="","",IFERROR(INDEX(Orders!$B:$B,MATCH($B238,Orders!$A:$A,0)),""))</f>
        <v/>
      </c>
      <c r="D238" t="str">
        <f>IF($B238="","",IFERROR(INDEX(Orders!$D:$D,MATCH($B238,Orders!$A:$A,0)),""))</f>
        <v/>
      </c>
      <c r="E238" s="5"/>
      <c r="F238" s="5"/>
    </row>
    <row r="239" spans="1:6">
      <c r="A239" s="4"/>
      <c r="C239" t="str">
        <f>IF($B239="","",IFERROR(INDEX(Orders!$B:$B,MATCH($B239,Orders!$A:$A,0)),""))</f>
        <v/>
      </c>
      <c r="D239" t="str">
        <f>IF($B239="","",IFERROR(INDEX(Orders!$D:$D,MATCH($B239,Orders!$A:$A,0)),""))</f>
        <v/>
      </c>
      <c r="E239" s="5"/>
      <c r="F239" s="5"/>
    </row>
    <row r="240" spans="1:6">
      <c r="A240" s="4"/>
      <c r="C240" t="str">
        <f>IF($B240="","",IFERROR(INDEX(Orders!$B:$B,MATCH($B240,Orders!$A:$A,0)),""))</f>
        <v/>
      </c>
      <c r="D240" t="str">
        <f>IF($B240="","",IFERROR(INDEX(Orders!$D:$D,MATCH($B240,Orders!$A:$A,0)),""))</f>
        <v/>
      </c>
      <c r="E240" s="5"/>
      <c r="F240" s="5"/>
    </row>
    <row r="241" spans="1:6">
      <c r="A241" s="4"/>
      <c r="C241" t="str">
        <f>IF($B241="","",IFERROR(INDEX(Orders!$B:$B,MATCH($B241,Orders!$A:$A,0)),""))</f>
        <v/>
      </c>
      <c r="D241" t="str">
        <f>IF($B241="","",IFERROR(INDEX(Orders!$D:$D,MATCH($B241,Orders!$A:$A,0)),""))</f>
        <v/>
      </c>
      <c r="E241" s="5"/>
      <c r="F241" s="5"/>
    </row>
    <row r="242" spans="1:6">
      <c r="A242" s="4"/>
      <c r="C242" t="str">
        <f>IF($B242="","",IFERROR(INDEX(Orders!$B:$B,MATCH($B242,Orders!$A:$A,0)),""))</f>
        <v/>
      </c>
      <c r="D242" t="str">
        <f>IF($B242="","",IFERROR(INDEX(Orders!$D:$D,MATCH($B242,Orders!$A:$A,0)),""))</f>
        <v/>
      </c>
      <c r="E242" s="5"/>
      <c r="F242" s="5"/>
    </row>
    <row r="243" spans="1:6">
      <c r="A243" s="4"/>
      <c r="C243" t="str">
        <f>IF($B243="","",IFERROR(INDEX(Orders!$B:$B,MATCH($B243,Orders!$A:$A,0)),""))</f>
        <v/>
      </c>
      <c r="D243" t="str">
        <f>IF($B243="","",IFERROR(INDEX(Orders!$D:$D,MATCH($B243,Orders!$A:$A,0)),""))</f>
        <v/>
      </c>
      <c r="E243" s="5"/>
      <c r="F243" s="5"/>
    </row>
    <row r="244" spans="1:6">
      <c r="A244" s="4"/>
      <c r="C244" t="str">
        <f>IF($B244="","",IFERROR(INDEX(Orders!$B:$B,MATCH($B244,Orders!$A:$A,0)),""))</f>
        <v/>
      </c>
      <c r="D244" t="str">
        <f>IF($B244="","",IFERROR(INDEX(Orders!$D:$D,MATCH($B244,Orders!$A:$A,0)),""))</f>
        <v/>
      </c>
      <c r="E244" s="5"/>
      <c r="F244" s="5"/>
    </row>
    <row r="245" spans="1:6">
      <c r="A245" s="4"/>
      <c r="C245" t="str">
        <f>IF($B245="","",IFERROR(INDEX(Orders!$B:$B,MATCH($B245,Orders!$A:$A,0)),""))</f>
        <v/>
      </c>
      <c r="D245" t="str">
        <f>IF($B245="","",IFERROR(INDEX(Orders!$D:$D,MATCH($B245,Orders!$A:$A,0)),""))</f>
        <v/>
      </c>
      <c r="E245" s="5"/>
      <c r="F245" s="5"/>
    </row>
    <row r="246" spans="1:6">
      <c r="A246" s="4"/>
      <c r="C246" t="str">
        <f>IF($B246="","",IFERROR(INDEX(Orders!$B:$B,MATCH($B246,Orders!$A:$A,0)),""))</f>
        <v/>
      </c>
      <c r="D246" t="str">
        <f>IF($B246="","",IFERROR(INDEX(Orders!$D:$D,MATCH($B246,Orders!$A:$A,0)),""))</f>
        <v/>
      </c>
      <c r="E246" s="5"/>
      <c r="F246" s="5"/>
    </row>
    <row r="247" spans="1:6">
      <c r="A247" s="4"/>
      <c r="C247" t="str">
        <f>IF($B247="","",IFERROR(INDEX(Orders!$B:$B,MATCH($B247,Orders!$A:$A,0)),""))</f>
        <v/>
      </c>
      <c r="D247" t="str">
        <f>IF($B247="","",IFERROR(INDEX(Orders!$D:$D,MATCH($B247,Orders!$A:$A,0)),""))</f>
        <v/>
      </c>
      <c r="E247" s="5"/>
      <c r="F247" s="5"/>
    </row>
    <row r="248" spans="1:6">
      <c r="A248" s="4"/>
      <c r="C248" t="str">
        <f>IF($B248="","",IFERROR(INDEX(Orders!$B:$B,MATCH($B248,Orders!$A:$A,0)),""))</f>
        <v/>
      </c>
      <c r="D248" t="str">
        <f>IF($B248="","",IFERROR(INDEX(Orders!$D:$D,MATCH($B248,Orders!$A:$A,0)),""))</f>
        <v/>
      </c>
      <c r="E248" s="5"/>
      <c r="F248" s="5"/>
    </row>
    <row r="249" spans="1:6">
      <c r="A249" s="4"/>
      <c r="C249" t="str">
        <f>IF($B249="","",IFERROR(INDEX(Orders!$B:$B,MATCH($B249,Orders!$A:$A,0)),""))</f>
        <v/>
      </c>
      <c r="D249" t="str">
        <f>IF($B249="","",IFERROR(INDEX(Orders!$D:$D,MATCH($B249,Orders!$A:$A,0)),""))</f>
        <v/>
      </c>
      <c r="E249" s="5"/>
      <c r="F249" s="5"/>
    </row>
    <row r="250" spans="1:6">
      <c r="A250" s="4"/>
      <c r="C250" t="str">
        <f>IF($B250="","",IFERROR(INDEX(Orders!$B:$B,MATCH($B250,Orders!$A:$A,0)),""))</f>
        <v/>
      </c>
      <c r="D250" t="str">
        <f>IF($B250="","",IFERROR(INDEX(Orders!$D:$D,MATCH($B250,Orders!$A:$A,0)),""))</f>
        <v/>
      </c>
      <c r="E250" s="5"/>
      <c r="F250" s="5"/>
    </row>
    <row r="251" spans="1:6">
      <c r="A251" s="4"/>
      <c r="C251" t="str">
        <f>IF($B251="","",IFERROR(INDEX(Orders!$B:$B,MATCH($B251,Orders!$A:$A,0)),""))</f>
        <v/>
      </c>
      <c r="D251" t="str">
        <f>IF($B251="","",IFERROR(INDEX(Orders!$D:$D,MATCH($B251,Orders!$A:$A,0)),""))</f>
        <v/>
      </c>
      <c r="E251" s="5"/>
      <c r="F251" s="5"/>
    </row>
    <row r="252" spans="1:6">
      <c r="A252" s="4"/>
      <c r="C252" t="str">
        <f>IF($B252="","",IFERROR(INDEX(Orders!$B:$B,MATCH($B252,Orders!$A:$A,0)),""))</f>
        <v/>
      </c>
      <c r="D252" t="str">
        <f>IF($B252="","",IFERROR(INDEX(Orders!$D:$D,MATCH($B252,Orders!$A:$A,0)),""))</f>
        <v/>
      </c>
      <c r="E252" s="5"/>
      <c r="F252" s="5"/>
    </row>
    <row r="253" spans="1:6">
      <c r="A253" s="4"/>
      <c r="C253" t="str">
        <f>IF($B253="","",IFERROR(INDEX(Orders!$B:$B,MATCH($B253,Orders!$A:$A,0)),""))</f>
        <v/>
      </c>
      <c r="D253" t="str">
        <f>IF($B253="","",IFERROR(INDEX(Orders!$D:$D,MATCH($B253,Orders!$A:$A,0)),""))</f>
        <v/>
      </c>
      <c r="E253" s="5"/>
      <c r="F253" s="5"/>
    </row>
    <row r="254" spans="1:6">
      <c r="A254" s="4"/>
      <c r="C254" t="str">
        <f>IF($B254="","",IFERROR(INDEX(Orders!$B:$B,MATCH($B254,Orders!$A:$A,0)),""))</f>
        <v/>
      </c>
      <c r="D254" t="str">
        <f>IF($B254="","",IFERROR(INDEX(Orders!$D:$D,MATCH($B254,Orders!$A:$A,0)),""))</f>
        <v/>
      </c>
      <c r="E254" s="5"/>
      <c r="F254" s="5"/>
    </row>
    <row r="255" spans="1:6">
      <c r="A255" s="4"/>
      <c r="C255" t="str">
        <f>IF($B255="","",IFERROR(INDEX(Orders!$B:$B,MATCH($B255,Orders!$A:$A,0)),""))</f>
        <v/>
      </c>
      <c r="D255" t="str">
        <f>IF($B255="","",IFERROR(INDEX(Orders!$D:$D,MATCH($B255,Orders!$A:$A,0)),""))</f>
        <v/>
      </c>
      <c r="E255" s="5"/>
      <c r="F255" s="5"/>
    </row>
    <row r="256" spans="1:6">
      <c r="A256" s="4"/>
      <c r="C256" t="str">
        <f>IF($B256="","",IFERROR(INDEX(Orders!$B:$B,MATCH($B256,Orders!$A:$A,0)),""))</f>
        <v/>
      </c>
      <c r="D256" t="str">
        <f>IF($B256="","",IFERROR(INDEX(Orders!$D:$D,MATCH($B256,Orders!$A:$A,0)),""))</f>
        <v/>
      </c>
      <c r="E256" s="5"/>
      <c r="F256" s="5"/>
    </row>
    <row r="257" spans="1:6">
      <c r="A257" s="4"/>
      <c r="C257" t="str">
        <f>IF($B257="","",IFERROR(INDEX(Orders!$B:$B,MATCH($B257,Orders!$A:$A,0)),""))</f>
        <v/>
      </c>
      <c r="D257" t="str">
        <f>IF($B257="","",IFERROR(INDEX(Orders!$D:$D,MATCH($B257,Orders!$A:$A,0)),""))</f>
        <v/>
      </c>
      <c r="E257" s="5"/>
      <c r="F257" s="5"/>
    </row>
    <row r="258" spans="1:6">
      <c r="A258" s="4"/>
      <c r="C258" t="str">
        <f>IF($B258="","",IFERROR(INDEX(Orders!$B:$B,MATCH($B258,Orders!$A:$A,0)),""))</f>
        <v/>
      </c>
      <c r="D258" t="str">
        <f>IF($B258="","",IFERROR(INDEX(Orders!$D:$D,MATCH($B258,Orders!$A:$A,0)),""))</f>
        <v/>
      </c>
      <c r="E258" s="5"/>
      <c r="F258" s="5"/>
    </row>
    <row r="259" spans="1:6">
      <c r="A259" s="4"/>
      <c r="C259" t="str">
        <f>IF($B259="","",IFERROR(INDEX(Orders!$B:$B,MATCH($B259,Orders!$A:$A,0)),""))</f>
        <v/>
      </c>
      <c r="D259" t="str">
        <f>IF($B259="","",IFERROR(INDEX(Orders!$D:$D,MATCH($B259,Orders!$A:$A,0)),""))</f>
        <v/>
      </c>
      <c r="E259" s="5"/>
      <c r="F259" s="5"/>
    </row>
    <row r="260" spans="1:6">
      <c r="A260" s="4"/>
      <c r="C260" t="str">
        <f>IF($B260="","",IFERROR(INDEX(Orders!$B:$B,MATCH($B260,Orders!$A:$A,0)),""))</f>
        <v/>
      </c>
      <c r="D260" t="str">
        <f>IF($B260="","",IFERROR(INDEX(Orders!$D:$D,MATCH($B260,Orders!$A:$A,0)),""))</f>
        <v/>
      </c>
      <c r="E260" s="5"/>
      <c r="F260" s="5"/>
    </row>
    <row r="261" spans="1:6">
      <c r="A261" s="4"/>
      <c r="C261" t="str">
        <f>IF($B261="","",IFERROR(INDEX(Orders!$B:$B,MATCH($B261,Orders!$A:$A,0)),""))</f>
        <v/>
      </c>
      <c r="D261" t="str">
        <f>IF($B261="","",IFERROR(INDEX(Orders!$D:$D,MATCH($B261,Orders!$A:$A,0)),""))</f>
        <v/>
      </c>
      <c r="E261" s="5"/>
      <c r="F261" s="5"/>
    </row>
    <row r="262" spans="1:6">
      <c r="A262" s="4"/>
      <c r="C262" t="str">
        <f>IF($B262="","",IFERROR(INDEX(Orders!$B:$B,MATCH($B262,Orders!$A:$A,0)),""))</f>
        <v/>
      </c>
      <c r="D262" t="str">
        <f>IF($B262="","",IFERROR(INDEX(Orders!$D:$D,MATCH($B262,Orders!$A:$A,0)),""))</f>
        <v/>
      </c>
      <c r="E262" s="5"/>
      <c r="F262" s="5"/>
    </row>
    <row r="263" spans="1:6">
      <c r="A263" s="4"/>
      <c r="C263" t="str">
        <f>IF($B263="","",IFERROR(INDEX(Orders!$B:$B,MATCH($B263,Orders!$A:$A,0)),""))</f>
        <v/>
      </c>
      <c r="D263" t="str">
        <f>IF($B263="","",IFERROR(INDEX(Orders!$D:$D,MATCH($B263,Orders!$A:$A,0)),""))</f>
        <v/>
      </c>
      <c r="E263" s="5"/>
      <c r="F263" s="5"/>
    </row>
    <row r="264" spans="1:6">
      <c r="A264" s="4"/>
      <c r="C264" t="str">
        <f>IF($B264="","",IFERROR(INDEX(Orders!$B:$B,MATCH($B264,Orders!$A:$A,0)),""))</f>
        <v/>
      </c>
      <c r="D264" t="str">
        <f>IF($B264="","",IFERROR(INDEX(Orders!$D:$D,MATCH($B264,Orders!$A:$A,0)),""))</f>
        <v/>
      </c>
      <c r="E264" s="5"/>
      <c r="F264" s="5"/>
    </row>
    <row r="265" spans="1:6">
      <c r="A265" s="4"/>
      <c r="C265" t="str">
        <f>IF($B265="","",IFERROR(INDEX(Orders!$B:$B,MATCH($B265,Orders!$A:$A,0)),""))</f>
        <v/>
      </c>
      <c r="D265" t="str">
        <f>IF($B265="","",IFERROR(INDEX(Orders!$D:$D,MATCH($B265,Orders!$A:$A,0)),""))</f>
        <v/>
      </c>
      <c r="E265" s="5"/>
      <c r="F265" s="5"/>
    </row>
    <row r="266" spans="1:6">
      <c r="A266" s="4"/>
      <c r="C266" t="str">
        <f>IF($B266="","",IFERROR(INDEX(Orders!$B:$B,MATCH($B266,Orders!$A:$A,0)),""))</f>
        <v/>
      </c>
      <c r="D266" t="str">
        <f>IF($B266="","",IFERROR(INDEX(Orders!$D:$D,MATCH($B266,Orders!$A:$A,0)),""))</f>
        <v/>
      </c>
      <c r="E266" s="5"/>
      <c r="F266" s="5"/>
    </row>
    <row r="267" spans="1:6">
      <c r="A267" s="4"/>
      <c r="C267" t="str">
        <f>IF($B267="","",IFERROR(INDEX(Orders!$B:$B,MATCH($B267,Orders!$A:$A,0)),""))</f>
        <v/>
      </c>
      <c r="D267" t="str">
        <f>IF($B267="","",IFERROR(INDEX(Orders!$D:$D,MATCH($B267,Orders!$A:$A,0)),""))</f>
        <v/>
      </c>
      <c r="E267" s="5"/>
      <c r="F267" s="5"/>
    </row>
    <row r="268" spans="1:6">
      <c r="A268" s="4"/>
      <c r="C268" t="str">
        <f>IF($B268="","",IFERROR(INDEX(Orders!$B:$B,MATCH($B268,Orders!$A:$A,0)),""))</f>
        <v/>
      </c>
      <c r="D268" t="str">
        <f>IF($B268="","",IFERROR(INDEX(Orders!$D:$D,MATCH($B268,Orders!$A:$A,0)),""))</f>
        <v/>
      </c>
      <c r="E268" s="5"/>
      <c r="F268" s="5"/>
    </row>
    <row r="269" spans="1:6">
      <c r="A269" s="4"/>
      <c r="C269" t="str">
        <f>IF($B269="","",IFERROR(INDEX(Orders!$B:$B,MATCH($B269,Orders!$A:$A,0)),""))</f>
        <v/>
      </c>
      <c r="D269" t="str">
        <f>IF($B269="","",IFERROR(INDEX(Orders!$D:$D,MATCH($B269,Orders!$A:$A,0)),""))</f>
        <v/>
      </c>
      <c r="E269" s="5"/>
      <c r="F269" s="5"/>
    </row>
    <row r="270" spans="1:6">
      <c r="A270" s="4"/>
      <c r="C270" t="str">
        <f>IF($B270="","",IFERROR(INDEX(Orders!$B:$B,MATCH($B270,Orders!$A:$A,0)),""))</f>
        <v/>
      </c>
      <c r="D270" t="str">
        <f>IF($B270="","",IFERROR(INDEX(Orders!$D:$D,MATCH($B270,Orders!$A:$A,0)),""))</f>
        <v/>
      </c>
      <c r="E270" s="5"/>
      <c r="F270" s="5"/>
    </row>
    <row r="271" spans="1:6">
      <c r="A271" s="4"/>
      <c r="C271" t="str">
        <f>IF($B271="","",IFERROR(INDEX(Orders!$B:$B,MATCH($B271,Orders!$A:$A,0)),""))</f>
        <v/>
      </c>
      <c r="D271" t="str">
        <f>IF($B271="","",IFERROR(INDEX(Orders!$D:$D,MATCH($B271,Orders!$A:$A,0)),""))</f>
        <v/>
      </c>
      <c r="E271" s="5"/>
      <c r="F271" s="5"/>
    </row>
    <row r="272" spans="1:6">
      <c r="A272" s="4"/>
      <c r="C272" t="str">
        <f>IF($B272="","",IFERROR(INDEX(Orders!$B:$B,MATCH($B272,Orders!$A:$A,0)),""))</f>
        <v/>
      </c>
      <c r="D272" t="str">
        <f>IF($B272="","",IFERROR(INDEX(Orders!$D:$D,MATCH($B272,Orders!$A:$A,0)),""))</f>
        <v/>
      </c>
      <c r="E272" s="5"/>
      <c r="F272" s="5"/>
    </row>
    <row r="273" spans="1:6">
      <c r="A273" s="4"/>
      <c r="C273" t="str">
        <f>IF($B273="","",IFERROR(INDEX(Orders!$B:$B,MATCH($B273,Orders!$A:$A,0)),""))</f>
        <v/>
      </c>
      <c r="D273" t="str">
        <f>IF($B273="","",IFERROR(INDEX(Orders!$D:$D,MATCH($B273,Orders!$A:$A,0)),""))</f>
        <v/>
      </c>
      <c r="E273" s="5"/>
      <c r="F273" s="5"/>
    </row>
    <row r="274" spans="1:6">
      <c r="A274" s="4"/>
      <c r="C274" t="str">
        <f>IF($B274="","",IFERROR(INDEX(Orders!$B:$B,MATCH($B274,Orders!$A:$A,0)),""))</f>
        <v/>
      </c>
      <c r="D274" t="str">
        <f>IF($B274="","",IFERROR(INDEX(Orders!$D:$D,MATCH($B274,Orders!$A:$A,0)),""))</f>
        <v/>
      </c>
      <c r="E274" s="5"/>
      <c r="F274" s="5"/>
    </row>
    <row r="275" spans="1:6">
      <c r="A275" s="4"/>
      <c r="C275" t="str">
        <f>IF($B275="","",IFERROR(INDEX(Orders!$B:$B,MATCH($B275,Orders!$A:$A,0)),""))</f>
        <v/>
      </c>
      <c r="D275" t="str">
        <f>IF($B275="","",IFERROR(INDEX(Orders!$D:$D,MATCH($B275,Orders!$A:$A,0)),""))</f>
        <v/>
      </c>
      <c r="E275" s="5"/>
      <c r="F275" s="5"/>
    </row>
    <row r="276" spans="1:6">
      <c r="A276" s="4"/>
      <c r="C276" t="str">
        <f>IF($B276="","",IFERROR(INDEX(Orders!$B:$B,MATCH($B276,Orders!$A:$A,0)),""))</f>
        <v/>
      </c>
      <c r="D276" t="str">
        <f>IF($B276="","",IFERROR(INDEX(Orders!$D:$D,MATCH($B276,Orders!$A:$A,0)),""))</f>
        <v/>
      </c>
      <c r="E276" s="5"/>
      <c r="F276" s="5"/>
    </row>
    <row r="277" spans="1:6">
      <c r="A277" s="4"/>
      <c r="C277" t="str">
        <f>IF($B277="","",IFERROR(INDEX(Orders!$B:$B,MATCH($B277,Orders!$A:$A,0)),""))</f>
        <v/>
      </c>
      <c r="D277" t="str">
        <f>IF($B277="","",IFERROR(INDEX(Orders!$D:$D,MATCH($B277,Orders!$A:$A,0)),""))</f>
        <v/>
      </c>
      <c r="E277" s="5"/>
      <c r="F277" s="5"/>
    </row>
    <row r="278" spans="1:6">
      <c r="A278" s="4"/>
      <c r="C278" t="str">
        <f>IF($B278="","",IFERROR(INDEX(Orders!$B:$B,MATCH($B278,Orders!$A:$A,0)),""))</f>
        <v/>
      </c>
      <c r="D278" t="str">
        <f>IF($B278="","",IFERROR(INDEX(Orders!$D:$D,MATCH($B278,Orders!$A:$A,0)),""))</f>
        <v/>
      </c>
      <c r="E278" s="5"/>
      <c r="F278" s="5"/>
    </row>
    <row r="279" spans="1:6">
      <c r="A279" s="4"/>
      <c r="C279" t="str">
        <f>IF($B279="","",IFERROR(INDEX(Orders!$B:$B,MATCH($B279,Orders!$A:$A,0)),""))</f>
        <v/>
      </c>
      <c r="D279" t="str">
        <f>IF($B279="","",IFERROR(INDEX(Orders!$D:$D,MATCH($B279,Orders!$A:$A,0)),""))</f>
        <v/>
      </c>
      <c r="E279" s="5"/>
      <c r="F279" s="5"/>
    </row>
    <row r="280" spans="1:6">
      <c r="A280" s="4"/>
      <c r="C280" t="str">
        <f>IF($B280="","",IFERROR(INDEX(Orders!$B:$B,MATCH($B280,Orders!$A:$A,0)),""))</f>
        <v/>
      </c>
      <c r="D280" t="str">
        <f>IF($B280="","",IFERROR(INDEX(Orders!$D:$D,MATCH($B280,Orders!$A:$A,0)),""))</f>
        <v/>
      </c>
      <c r="E280" s="5"/>
      <c r="F280" s="5"/>
    </row>
    <row r="281" spans="1:6">
      <c r="A281" s="4"/>
      <c r="C281" t="str">
        <f>IF($B281="","",IFERROR(INDEX(Orders!$B:$B,MATCH($B281,Orders!$A:$A,0)),""))</f>
        <v/>
      </c>
      <c r="D281" t="str">
        <f>IF($B281="","",IFERROR(INDEX(Orders!$D:$D,MATCH($B281,Orders!$A:$A,0)),""))</f>
        <v/>
      </c>
      <c r="E281" s="5"/>
      <c r="F281" s="5"/>
    </row>
    <row r="282" spans="1:6">
      <c r="A282" s="4"/>
      <c r="C282" t="str">
        <f>IF($B282="","",IFERROR(INDEX(Orders!$B:$B,MATCH($B282,Orders!$A:$A,0)),""))</f>
        <v/>
      </c>
      <c r="D282" t="str">
        <f>IF($B282="","",IFERROR(INDEX(Orders!$D:$D,MATCH($B282,Orders!$A:$A,0)),""))</f>
        <v/>
      </c>
      <c r="E282" s="5"/>
      <c r="F282" s="5"/>
    </row>
    <row r="283" spans="1:6">
      <c r="A283" s="4"/>
      <c r="C283" t="str">
        <f>IF($B283="","",IFERROR(INDEX(Orders!$B:$B,MATCH($B283,Orders!$A:$A,0)),""))</f>
        <v/>
      </c>
      <c r="D283" t="str">
        <f>IF($B283="","",IFERROR(INDEX(Orders!$D:$D,MATCH($B283,Orders!$A:$A,0)),""))</f>
        <v/>
      </c>
      <c r="E283" s="5"/>
      <c r="F283" s="5"/>
    </row>
    <row r="284" spans="1:6">
      <c r="A284" s="4"/>
      <c r="C284" t="str">
        <f>IF($B284="","",IFERROR(INDEX(Orders!$B:$B,MATCH($B284,Orders!$A:$A,0)),""))</f>
        <v/>
      </c>
      <c r="D284" t="str">
        <f>IF($B284="","",IFERROR(INDEX(Orders!$D:$D,MATCH($B284,Orders!$A:$A,0)),""))</f>
        <v/>
      </c>
      <c r="E284" s="5"/>
      <c r="F284" s="5"/>
    </row>
    <row r="285" spans="1:6">
      <c r="A285" s="4"/>
      <c r="C285" t="str">
        <f>IF($B285="","",IFERROR(INDEX(Orders!$B:$B,MATCH($B285,Orders!$A:$A,0)),""))</f>
        <v/>
      </c>
      <c r="D285" t="str">
        <f>IF($B285="","",IFERROR(INDEX(Orders!$D:$D,MATCH($B285,Orders!$A:$A,0)),""))</f>
        <v/>
      </c>
      <c r="E285" s="5"/>
      <c r="F285" s="5"/>
    </row>
    <row r="286" spans="1:6">
      <c r="A286" s="4"/>
      <c r="C286" t="str">
        <f>IF($B286="","",IFERROR(INDEX(Orders!$B:$B,MATCH($B286,Orders!$A:$A,0)),""))</f>
        <v/>
      </c>
      <c r="D286" t="str">
        <f>IF($B286="","",IFERROR(INDEX(Orders!$D:$D,MATCH($B286,Orders!$A:$A,0)),""))</f>
        <v/>
      </c>
      <c r="E286" s="5"/>
      <c r="F286" s="5"/>
    </row>
    <row r="287" spans="1:6">
      <c r="A287" s="4"/>
      <c r="C287" t="str">
        <f>IF($B287="","",IFERROR(INDEX(Orders!$B:$B,MATCH($B287,Orders!$A:$A,0)),""))</f>
        <v/>
      </c>
      <c r="D287" t="str">
        <f>IF($B287="","",IFERROR(INDEX(Orders!$D:$D,MATCH($B287,Orders!$A:$A,0)),""))</f>
        <v/>
      </c>
      <c r="E287" s="5"/>
      <c r="F287" s="5"/>
    </row>
    <row r="288" spans="1:6">
      <c r="A288" s="4"/>
      <c r="C288" t="str">
        <f>IF($B288="","",IFERROR(INDEX(Orders!$B:$B,MATCH($B288,Orders!$A:$A,0)),""))</f>
        <v/>
      </c>
      <c r="D288" t="str">
        <f>IF($B288="","",IFERROR(INDEX(Orders!$D:$D,MATCH($B288,Orders!$A:$A,0)),""))</f>
        <v/>
      </c>
      <c r="E288" s="5"/>
      <c r="F288" s="5"/>
    </row>
    <row r="289" spans="1:6">
      <c r="A289" s="4"/>
      <c r="C289" t="str">
        <f>IF($B289="","",IFERROR(INDEX(Orders!$B:$B,MATCH($B289,Orders!$A:$A,0)),""))</f>
        <v/>
      </c>
      <c r="D289" t="str">
        <f>IF($B289="","",IFERROR(INDEX(Orders!$D:$D,MATCH($B289,Orders!$A:$A,0)),""))</f>
        <v/>
      </c>
      <c r="E289" s="5"/>
      <c r="F289" s="5"/>
    </row>
    <row r="290" spans="1:6">
      <c r="A290" s="4"/>
      <c r="C290" t="str">
        <f>IF($B290="","",IFERROR(INDEX(Orders!$B:$B,MATCH($B290,Orders!$A:$A,0)),""))</f>
        <v/>
      </c>
      <c r="D290" t="str">
        <f>IF($B290="","",IFERROR(INDEX(Orders!$D:$D,MATCH($B290,Orders!$A:$A,0)),""))</f>
        <v/>
      </c>
      <c r="E290" s="5"/>
      <c r="F290" s="5"/>
    </row>
    <row r="291" spans="1:6">
      <c r="A291" s="4"/>
      <c r="C291" t="str">
        <f>IF($B291="","",IFERROR(INDEX(Orders!$B:$B,MATCH($B291,Orders!$A:$A,0)),""))</f>
        <v/>
      </c>
      <c r="D291" t="str">
        <f>IF($B291="","",IFERROR(INDEX(Orders!$D:$D,MATCH($B291,Orders!$A:$A,0)),""))</f>
        <v/>
      </c>
      <c r="E291" s="5"/>
      <c r="F291" s="5"/>
    </row>
    <row r="292" spans="1:6">
      <c r="A292" s="4"/>
      <c r="C292" t="str">
        <f>IF($B292="","",IFERROR(INDEX(Orders!$B:$B,MATCH($B292,Orders!$A:$A,0)),""))</f>
        <v/>
      </c>
      <c r="D292" t="str">
        <f>IF($B292="","",IFERROR(INDEX(Orders!$D:$D,MATCH($B292,Orders!$A:$A,0)),""))</f>
        <v/>
      </c>
      <c r="E292" s="5"/>
      <c r="F292" s="5"/>
    </row>
    <row r="293" spans="1:6">
      <c r="A293" s="4"/>
      <c r="C293" t="str">
        <f>IF($B293="","",IFERROR(INDEX(Orders!$B:$B,MATCH($B293,Orders!$A:$A,0)),""))</f>
        <v/>
      </c>
      <c r="D293" t="str">
        <f>IF($B293="","",IFERROR(INDEX(Orders!$D:$D,MATCH($B293,Orders!$A:$A,0)),""))</f>
        <v/>
      </c>
      <c r="E293" s="5"/>
      <c r="F293" s="5"/>
    </row>
    <row r="294" spans="1:6">
      <c r="A294" s="4"/>
      <c r="C294" t="str">
        <f>IF($B294="","",IFERROR(INDEX(Orders!$B:$B,MATCH($B294,Orders!$A:$A,0)),""))</f>
        <v/>
      </c>
      <c r="D294" t="str">
        <f>IF($B294="","",IFERROR(INDEX(Orders!$D:$D,MATCH($B294,Orders!$A:$A,0)),""))</f>
        <v/>
      </c>
      <c r="E294" s="5"/>
      <c r="F294" s="5"/>
    </row>
    <row r="295" spans="1:6">
      <c r="A295" s="4"/>
      <c r="C295" t="str">
        <f>IF($B295="","",IFERROR(INDEX(Orders!$B:$B,MATCH($B295,Orders!$A:$A,0)),""))</f>
        <v/>
      </c>
      <c r="D295" t="str">
        <f>IF($B295="","",IFERROR(INDEX(Orders!$D:$D,MATCH($B295,Orders!$A:$A,0)),""))</f>
        <v/>
      </c>
      <c r="E295" s="5"/>
      <c r="F295" s="5"/>
    </row>
    <row r="296" spans="1:6">
      <c r="A296" s="4"/>
      <c r="C296" t="str">
        <f>IF($B296="","",IFERROR(INDEX(Orders!$B:$B,MATCH($B296,Orders!$A:$A,0)),""))</f>
        <v/>
      </c>
      <c r="D296" t="str">
        <f>IF($B296="","",IFERROR(INDEX(Orders!$D:$D,MATCH($B296,Orders!$A:$A,0)),""))</f>
        <v/>
      </c>
      <c r="E296" s="5"/>
      <c r="F296" s="5"/>
    </row>
    <row r="297" spans="1:6">
      <c r="A297" s="4"/>
      <c r="C297" t="str">
        <f>IF($B297="","",IFERROR(INDEX(Orders!$B:$B,MATCH($B297,Orders!$A:$A,0)),""))</f>
        <v/>
      </c>
      <c r="D297" t="str">
        <f>IF($B297="","",IFERROR(INDEX(Orders!$D:$D,MATCH($B297,Orders!$A:$A,0)),""))</f>
        <v/>
      </c>
      <c r="E297" s="5"/>
      <c r="F297" s="5"/>
    </row>
    <row r="298" spans="1:6">
      <c r="A298" s="4"/>
      <c r="C298" t="str">
        <f>IF($B298="","",IFERROR(INDEX(Orders!$B:$B,MATCH($B298,Orders!$A:$A,0)),""))</f>
        <v/>
      </c>
      <c r="D298" t="str">
        <f>IF($B298="","",IFERROR(INDEX(Orders!$D:$D,MATCH($B298,Orders!$A:$A,0)),""))</f>
        <v/>
      </c>
      <c r="E298" s="5"/>
      <c r="F298" s="5"/>
    </row>
    <row r="299" spans="1:6">
      <c r="A299" s="4"/>
      <c r="C299" t="str">
        <f>IF($B299="","",IFERROR(INDEX(Orders!$B:$B,MATCH($B299,Orders!$A:$A,0)),""))</f>
        <v/>
      </c>
      <c r="D299" t="str">
        <f>IF($B299="","",IFERROR(INDEX(Orders!$D:$D,MATCH($B299,Orders!$A:$A,0)),""))</f>
        <v/>
      </c>
      <c r="E299" s="5"/>
      <c r="F299" s="5"/>
    </row>
    <row r="300" spans="1:6">
      <c r="A300" s="4"/>
      <c r="C300" t="str">
        <f>IF($B300="","",IFERROR(INDEX(Orders!$B:$B,MATCH($B300,Orders!$A:$A,0)),""))</f>
        <v/>
      </c>
      <c r="D300" t="str">
        <f>IF($B300="","",IFERROR(INDEX(Orders!$D:$D,MATCH($B300,Orders!$A:$A,0)),""))</f>
        <v/>
      </c>
      <c r="E300" s="5"/>
      <c r="F300" s="5"/>
    </row>
    <row r="301" spans="1:6">
      <c r="A301" s="4"/>
      <c r="C301" t="str">
        <f>IF($B301="","",IFERROR(INDEX(Orders!$B:$B,MATCH($B301,Orders!$A:$A,0)),""))</f>
        <v/>
      </c>
      <c r="D301" t="str">
        <f>IF($B301="","",IFERROR(INDEX(Orders!$D:$D,MATCH($B301,Orders!$A:$A,0)),""))</f>
        <v/>
      </c>
      <c r="E301" s="5"/>
      <c r="F301" s="5"/>
    </row>
    <row r="302" spans="1:6">
      <c r="A302" s="4"/>
      <c r="C302" t="str">
        <f>IF($B302="","",IFERROR(INDEX(Orders!$B:$B,MATCH($B302,Orders!$A:$A,0)),""))</f>
        <v/>
      </c>
      <c r="D302" t="str">
        <f>IF($B302="","",IFERROR(INDEX(Orders!$D:$D,MATCH($B302,Orders!$A:$A,0)),""))</f>
        <v/>
      </c>
      <c r="E302" s="5"/>
      <c r="F302" s="5"/>
    </row>
    <row r="303" spans="1:6">
      <c r="A303" s="4"/>
      <c r="C303" t="str">
        <f>IF($B303="","",IFERROR(INDEX(Orders!$B:$B,MATCH($B303,Orders!$A:$A,0)),""))</f>
        <v/>
      </c>
      <c r="D303" t="str">
        <f>IF($B303="","",IFERROR(INDEX(Orders!$D:$D,MATCH($B303,Orders!$A:$A,0)),""))</f>
        <v/>
      </c>
      <c r="E303" s="5"/>
      <c r="F303" s="5"/>
    </row>
    <row r="304" spans="1:6">
      <c r="A304" s="4"/>
      <c r="C304" t="str">
        <f>IF($B304="","",IFERROR(INDEX(Orders!$B:$B,MATCH($B304,Orders!$A:$A,0)),""))</f>
        <v/>
      </c>
      <c r="D304" t="str">
        <f>IF($B304="","",IFERROR(INDEX(Orders!$D:$D,MATCH($B304,Orders!$A:$A,0)),""))</f>
        <v/>
      </c>
      <c r="E304" s="5"/>
      <c r="F304" s="5"/>
    </row>
    <row r="305" spans="1:6">
      <c r="A305" s="4"/>
      <c r="C305" t="str">
        <f>IF($B305="","",IFERROR(INDEX(Orders!$B:$B,MATCH($B305,Orders!$A:$A,0)),""))</f>
        <v/>
      </c>
      <c r="D305" t="str">
        <f>IF($B305="","",IFERROR(INDEX(Orders!$D:$D,MATCH($B305,Orders!$A:$A,0)),""))</f>
        <v/>
      </c>
      <c r="E305" s="5"/>
      <c r="F305" s="5"/>
    </row>
    <row r="306" spans="1:6">
      <c r="A306" s="4"/>
      <c r="C306" t="str">
        <f>IF($B306="","",IFERROR(INDEX(Orders!$B:$B,MATCH($B306,Orders!$A:$A,0)),""))</f>
        <v/>
      </c>
      <c r="D306" t="str">
        <f>IF($B306="","",IFERROR(INDEX(Orders!$D:$D,MATCH($B306,Orders!$A:$A,0)),""))</f>
        <v/>
      </c>
      <c r="E306" s="5"/>
      <c r="F306" s="5"/>
    </row>
    <row r="307" spans="1:6">
      <c r="A307" s="4"/>
      <c r="C307" t="str">
        <f>IF($B307="","",IFERROR(INDEX(Orders!$B:$B,MATCH($B307,Orders!$A:$A,0)),""))</f>
        <v/>
      </c>
      <c r="D307" t="str">
        <f>IF($B307="","",IFERROR(INDEX(Orders!$D:$D,MATCH($B307,Orders!$A:$A,0)),""))</f>
        <v/>
      </c>
      <c r="E307" s="5"/>
      <c r="F307" s="5"/>
    </row>
    <row r="308" spans="1:6">
      <c r="A308" s="4"/>
      <c r="C308" t="str">
        <f>IF($B308="","",IFERROR(INDEX(Orders!$B:$B,MATCH($B308,Orders!$A:$A,0)),""))</f>
        <v/>
      </c>
      <c r="D308" t="str">
        <f>IF($B308="","",IFERROR(INDEX(Orders!$D:$D,MATCH($B308,Orders!$A:$A,0)),""))</f>
        <v/>
      </c>
      <c r="E308" s="5"/>
      <c r="F308" s="5"/>
    </row>
    <row r="309" spans="1:6">
      <c r="A309" s="4"/>
      <c r="C309" t="str">
        <f>IF($B309="","",IFERROR(INDEX(Orders!$B:$B,MATCH($B309,Orders!$A:$A,0)),""))</f>
        <v/>
      </c>
      <c r="D309" t="str">
        <f>IF($B309="","",IFERROR(INDEX(Orders!$D:$D,MATCH($B309,Orders!$A:$A,0)),""))</f>
        <v/>
      </c>
      <c r="E309" s="5"/>
      <c r="F309" s="5"/>
    </row>
    <row r="310" spans="1:6">
      <c r="A310" s="4"/>
      <c r="C310" t="str">
        <f>IF($B310="","",IFERROR(INDEX(Orders!$B:$B,MATCH($B310,Orders!$A:$A,0)),""))</f>
        <v/>
      </c>
      <c r="D310" t="str">
        <f>IF($B310="","",IFERROR(INDEX(Orders!$D:$D,MATCH($B310,Orders!$A:$A,0)),""))</f>
        <v/>
      </c>
      <c r="E310" s="5"/>
      <c r="F310" s="5"/>
    </row>
    <row r="311" spans="1:6">
      <c r="A311" s="4"/>
      <c r="C311" t="str">
        <f>IF($B311="","",IFERROR(INDEX(Orders!$B:$B,MATCH($B311,Orders!$A:$A,0)),""))</f>
        <v/>
      </c>
      <c r="D311" t="str">
        <f>IF($B311="","",IFERROR(INDEX(Orders!$D:$D,MATCH($B311,Orders!$A:$A,0)),""))</f>
        <v/>
      </c>
      <c r="E311" s="5"/>
      <c r="F311" s="5"/>
    </row>
    <row r="312" spans="1:6">
      <c r="A312" s="4"/>
      <c r="C312" t="str">
        <f>IF($B312="","",IFERROR(INDEX(Orders!$B:$B,MATCH($B312,Orders!$A:$A,0)),""))</f>
        <v/>
      </c>
      <c r="D312" t="str">
        <f>IF($B312="","",IFERROR(INDEX(Orders!$D:$D,MATCH($B312,Orders!$A:$A,0)),""))</f>
        <v/>
      </c>
      <c r="E312" s="5"/>
      <c r="F312" s="5"/>
    </row>
    <row r="313" spans="1:6">
      <c r="A313" s="4"/>
      <c r="C313" t="str">
        <f>IF($B313="","",IFERROR(INDEX(Orders!$B:$B,MATCH($B313,Orders!$A:$A,0)),""))</f>
        <v/>
      </c>
      <c r="D313" t="str">
        <f>IF($B313="","",IFERROR(INDEX(Orders!$D:$D,MATCH($B313,Orders!$A:$A,0)),""))</f>
        <v/>
      </c>
      <c r="E313" s="5"/>
      <c r="F313" s="5"/>
    </row>
    <row r="314" spans="1:6">
      <c r="A314" s="4"/>
      <c r="C314" t="str">
        <f>IF($B314="","",IFERROR(INDEX(Orders!$B:$B,MATCH($B314,Orders!$A:$A,0)),""))</f>
        <v/>
      </c>
      <c r="D314" t="str">
        <f>IF($B314="","",IFERROR(INDEX(Orders!$D:$D,MATCH($B314,Orders!$A:$A,0)),""))</f>
        <v/>
      </c>
      <c r="E314" s="5"/>
      <c r="F314" s="5"/>
    </row>
    <row r="315" spans="1:6">
      <c r="A315" s="4"/>
      <c r="C315" t="str">
        <f>IF($B315="","",IFERROR(INDEX(Orders!$B:$B,MATCH($B315,Orders!$A:$A,0)),""))</f>
        <v/>
      </c>
      <c r="D315" t="str">
        <f>IF($B315="","",IFERROR(INDEX(Orders!$D:$D,MATCH($B315,Orders!$A:$A,0)),""))</f>
        <v/>
      </c>
      <c r="E315" s="5"/>
      <c r="F315" s="5"/>
    </row>
    <row r="316" spans="1:6">
      <c r="A316" s="4"/>
      <c r="C316" t="str">
        <f>IF($B316="","",IFERROR(INDEX(Orders!$B:$B,MATCH($B316,Orders!$A:$A,0)),""))</f>
        <v/>
      </c>
      <c r="D316" t="str">
        <f>IF($B316="","",IFERROR(INDEX(Orders!$D:$D,MATCH($B316,Orders!$A:$A,0)),""))</f>
        <v/>
      </c>
      <c r="E316" s="5"/>
      <c r="F316" s="5"/>
    </row>
    <row r="317" spans="1:6">
      <c r="A317" s="4"/>
      <c r="C317" t="str">
        <f>IF($B317="","",IFERROR(INDEX(Orders!$B:$B,MATCH($B317,Orders!$A:$A,0)),""))</f>
        <v/>
      </c>
      <c r="D317" t="str">
        <f>IF($B317="","",IFERROR(INDEX(Orders!$D:$D,MATCH($B317,Orders!$A:$A,0)),""))</f>
        <v/>
      </c>
      <c r="E317" s="5"/>
      <c r="F317" s="5"/>
    </row>
    <row r="318" spans="1:6">
      <c r="A318" s="4"/>
      <c r="C318" t="str">
        <f>IF($B318="","",IFERROR(INDEX(Orders!$B:$B,MATCH($B318,Orders!$A:$A,0)),""))</f>
        <v/>
      </c>
      <c r="D318" t="str">
        <f>IF($B318="","",IFERROR(INDEX(Orders!$D:$D,MATCH($B318,Orders!$A:$A,0)),""))</f>
        <v/>
      </c>
      <c r="E318" s="5"/>
      <c r="F318" s="5"/>
    </row>
    <row r="319" spans="1:6">
      <c r="A319" s="4"/>
      <c r="C319" t="str">
        <f>IF($B319="","",IFERROR(INDEX(Orders!$B:$B,MATCH($B319,Orders!$A:$A,0)),""))</f>
        <v/>
      </c>
      <c r="D319" t="str">
        <f>IF($B319="","",IFERROR(INDEX(Orders!$D:$D,MATCH($B319,Orders!$A:$A,0)),""))</f>
        <v/>
      </c>
      <c r="E319" s="5"/>
      <c r="F319" s="5"/>
    </row>
    <row r="320" spans="1:6">
      <c r="A320" s="4"/>
      <c r="C320" t="str">
        <f>IF($B320="","",IFERROR(INDEX(Orders!$B:$B,MATCH($B320,Orders!$A:$A,0)),""))</f>
        <v/>
      </c>
      <c r="D320" t="str">
        <f>IF($B320="","",IFERROR(INDEX(Orders!$D:$D,MATCH($B320,Orders!$A:$A,0)),""))</f>
        <v/>
      </c>
      <c r="E320" s="5"/>
      <c r="F320" s="5"/>
    </row>
    <row r="321" spans="1:6">
      <c r="A321" s="4"/>
      <c r="C321" t="str">
        <f>IF($B321="","",IFERROR(INDEX(Orders!$B:$B,MATCH($B321,Orders!$A:$A,0)),""))</f>
        <v/>
      </c>
      <c r="D321" t="str">
        <f>IF($B321="","",IFERROR(INDEX(Orders!$D:$D,MATCH($B321,Orders!$A:$A,0)),""))</f>
        <v/>
      </c>
      <c r="E321" s="5"/>
      <c r="F321" s="5"/>
    </row>
    <row r="322" spans="1:6">
      <c r="A322" s="4"/>
      <c r="C322" t="str">
        <f>IF($B322="","",IFERROR(INDEX(Orders!$B:$B,MATCH($B322,Orders!$A:$A,0)),""))</f>
        <v/>
      </c>
      <c r="D322" t="str">
        <f>IF($B322="","",IFERROR(INDEX(Orders!$D:$D,MATCH($B322,Orders!$A:$A,0)),""))</f>
        <v/>
      </c>
      <c r="E322" s="5"/>
      <c r="F322" s="5"/>
    </row>
    <row r="323" spans="1:6">
      <c r="A323" s="4"/>
      <c r="C323" t="str">
        <f>IF($B323="","",IFERROR(INDEX(Orders!$B:$B,MATCH($B323,Orders!$A:$A,0)),""))</f>
        <v/>
      </c>
      <c r="D323" t="str">
        <f>IF($B323="","",IFERROR(INDEX(Orders!$D:$D,MATCH($B323,Orders!$A:$A,0)),""))</f>
        <v/>
      </c>
      <c r="E323" s="5"/>
      <c r="F323" s="5"/>
    </row>
    <row r="324" spans="1:6">
      <c r="A324" s="4"/>
      <c r="C324" t="str">
        <f>IF($B324="","",IFERROR(INDEX(Orders!$B:$B,MATCH($B324,Orders!$A:$A,0)),""))</f>
        <v/>
      </c>
      <c r="D324" t="str">
        <f>IF($B324="","",IFERROR(INDEX(Orders!$D:$D,MATCH($B324,Orders!$A:$A,0)),""))</f>
        <v/>
      </c>
      <c r="E324" s="5"/>
      <c r="F324" s="5"/>
    </row>
    <row r="325" spans="1:6">
      <c r="A325" s="4"/>
      <c r="C325" t="str">
        <f>IF($B325="","",IFERROR(INDEX(Orders!$B:$B,MATCH($B325,Orders!$A:$A,0)),""))</f>
        <v/>
      </c>
      <c r="D325" t="str">
        <f>IF($B325="","",IFERROR(INDEX(Orders!$D:$D,MATCH($B325,Orders!$A:$A,0)),""))</f>
        <v/>
      </c>
      <c r="E325" s="5"/>
      <c r="F325" s="5"/>
    </row>
    <row r="326" spans="1:6">
      <c r="A326" s="4"/>
      <c r="C326" t="str">
        <f>IF($B326="","",IFERROR(INDEX(Orders!$B:$B,MATCH($B326,Orders!$A:$A,0)),""))</f>
        <v/>
      </c>
      <c r="D326" t="str">
        <f>IF($B326="","",IFERROR(INDEX(Orders!$D:$D,MATCH($B326,Orders!$A:$A,0)),""))</f>
        <v/>
      </c>
      <c r="E326" s="5"/>
      <c r="F326" s="5"/>
    </row>
    <row r="327" spans="1:6">
      <c r="A327" s="4"/>
      <c r="C327" t="str">
        <f>IF($B327="","",IFERROR(INDEX(Orders!$B:$B,MATCH($B327,Orders!$A:$A,0)),""))</f>
        <v/>
      </c>
      <c r="D327" t="str">
        <f>IF($B327="","",IFERROR(INDEX(Orders!$D:$D,MATCH($B327,Orders!$A:$A,0)),""))</f>
        <v/>
      </c>
      <c r="E327" s="5"/>
      <c r="F327" s="5"/>
    </row>
    <row r="328" spans="1:6">
      <c r="A328" s="4"/>
      <c r="C328" t="str">
        <f>IF($B328="","",IFERROR(INDEX(Orders!$B:$B,MATCH($B328,Orders!$A:$A,0)),""))</f>
        <v/>
      </c>
      <c r="D328" t="str">
        <f>IF($B328="","",IFERROR(INDEX(Orders!$D:$D,MATCH($B328,Orders!$A:$A,0)),""))</f>
        <v/>
      </c>
      <c r="E328" s="5"/>
      <c r="F328" s="5"/>
    </row>
    <row r="329" spans="1:6">
      <c r="A329" s="4"/>
      <c r="C329" t="str">
        <f>IF($B329="","",IFERROR(INDEX(Orders!$B:$B,MATCH($B329,Orders!$A:$A,0)),""))</f>
        <v/>
      </c>
      <c r="D329" t="str">
        <f>IF($B329="","",IFERROR(INDEX(Orders!$D:$D,MATCH($B329,Orders!$A:$A,0)),""))</f>
        <v/>
      </c>
      <c r="E329" s="5"/>
      <c r="F329" s="5"/>
    </row>
    <row r="330" spans="1:6">
      <c r="A330" s="4"/>
      <c r="C330" t="str">
        <f>IF($B330="","",IFERROR(INDEX(Orders!$B:$B,MATCH($B330,Orders!$A:$A,0)),""))</f>
        <v/>
      </c>
      <c r="D330" t="str">
        <f>IF($B330="","",IFERROR(INDEX(Orders!$D:$D,MATCH($B330,Orders!$A:$A,0)),""))</f>
        <v/>
      </c>
      <c r="E330" s="5"/>
      <c r="F330" s="5"/>
    </row>
    <row r="331" spans="1:6">
      <c r="A331" s="4"/>
      <c r="C331" t="str">
        <f>IF($B331="","",IFERROR(INDEX(Orders!$B:$B,MATCH($B331,Orders!$A:$A,0)),""))</f>
        <v/>
      </c>
      <c r="D331" t="str">
        <f>IF($B331="","",IFERROR(INDEX(Orders!$D:$D,MATCH($B331,Orders!$A:$A,0)),""))</f>
        <v/>
      </c>
      <c r="E331" s="5"/>
      <c r="F331" s="5"/>
    </row>
    <row r="332" spans="1:6">
      <c r="A332" s="4"/>
      <c r="C332" t="str">
        <f>IF($B332="","",IFERROR(INDEX(Orders!$B:$B,MATCH($B332,Orders!$A:$A,0)),""))</f>
        <v/>
      </c>
      <c r="D332" t="str">
        <f>IF($B332="","",IFERROR(INDEX(Orders!$D:$D,MATCH($B332,Orders!$A:$A,0)),""))</f>
        <v/>
      </c>
      <c r="E332" s="5"/>
      <c r="F332" s="5"/>
    </row>
    <row r="333" spans="1:6">
      <c r="A333" s="4"/>
      <c r="C333" t="str">
        <f>IF($B333="","",IFERROR(INDEX(Orders!$B:$B,MATCH($B333,Orders!$A:$A,0)),""))</f>
        <v/>
      </c>
      <c r="D333" t="str">
        <f>IF($B333="","",IFERROR(INDEX(Orders!$D:$D,MATCH($B333,Orders!$A:$A,0)),""))</f>
        <v/>
      </c>
      <c r="E333" s="5"/>
      <c r="F333" s="5"/>
    </row>
    <row r="334" spans="1:6">
      <c r="A334" s="4"/>
      <c r="C334" t="str">
        <f>IF($B334="","",IFERROR(INDEX(Orders!$B:$B,MATCH($B334,Orders!$A:$A,0)),""))</f>
        <v/>
      </c>
      <c r="D334" t="str">
        <f>IF($B334="","",IFERROR(INDEX(Orders!$D:$D,MATCH($B334,Orders!$A:$A,0)),""))</f>
        <v/>
      </c>
      <c r="E334" s="5"/>
      <c r="F334" s="5"/>
    </row>
    <row r="335" spans="1:6">
      <c r="A335" s="4"/>
      <c r="C335" t="str">
        <f>IF($B335="","",IFERROR(INDEX(Orders!$B:$B,MATCH($B335,Orders!$A:$A,0)),""))</f>
        <v/>
      </c>
      <c r="D335" t="str">
        <f>IF($B335="","",IFERROR(INDEX(Orders!$D:$D,MATCH($B335,Orders!$A:$A,0)),""))</f>
        <v/>
      </c>
      <c r="E335" s="5"/>
      <c r="F335" s="5"/>
    </row>
    <row r="336" spans="1:6">
      <c r="A336" s="4"/>
      <c r="C336" t="str">
        <f>IF($B336="","",IFERROR(INDEX(Orders!$B:$B,MATCH($B336,Orders!$A:$A,0)),""))</f>
        <v/>
      </c>
      <c r="D336" t="str">
        <f>IF($B336="","",IFERROR(INDEX(Orders!$D:$D,MATCH($B336,Orders!$A:$A,0)),""))</f>
        <v/>
      </c>
      <c r="E336" s="5"/>
      <c r="F336" s="5"/>
    </row>
    <row r="337" spans="1:6">
      <c r="A337" s="4"/>
      <c r="C337" t="str">
        <f>IF($B337="","",IFERROR(INDEX(Orders!$B:$B,MATCH($B337,Orders!$A:$A,0)),""))</f>
        <v/>
      </c>
      <c r="D337" t="str">
        <f>IF($B337="","",IFERROR(INDEX(Orders!$D:$D,MATCH($B337,Orders!$A:$A,0)),""))</f>
        <v/>
      </c>
      <c r="E337" s="5"/>
      <c r="F337" s="5"/>
    </row>
    <row r="338" spans="1:6">
      <c r="A338" s="4"/>
      <c r="C338" t="str">
        <f>IF($B338="","",IFERROR(INDEX(Orders!$B:$B,MATCH($B338,Orders!$A:$A,0)),""))</f>
        <v/>
      </c>
      <c r="D338" t="str">
        <f>IF($B338="","",IFERROR(INDEX(Orders!$D:$D,MATCH($B338,Orders!$A:$A,0)),""))</f>
        <v/>
      </c>
      <c r="E338" s="5"/>
      <c r="F338" s="5"/>
    </row>
    <row r="339" spans="1:6">
      <c r="A339" s="4"/>
      <c r="C339" t="str">
        <f>IF($B339="","",IFERROR(INDEX(Orders!$B:$B,MATCH($B339,Orders!$A:$A,0)),""))</f>
        <v/>
      </c>
      <c r="D339" t="str">
        <f>IF($B339="","",IFERROR(INDEX(Orders!$D:$D,MATCH($B339,Orders!$A:$A,0)),""))</f>
        <v/>
      </c>
      <c r="E339" s="5"/>
      <c r="F339" s="5"/>
    </row>
    <row r="340" spans="1:6">
      <c r="A340" s="4"/>
      <c r="C340" t="str">
        <f>IF($B340="","",IFERROR(INDEX(Orders!$B:$B,MATCH($B340,Orders!$A:$A,0)),""))</f>
        <v/>
      </c>
      <c r="D340" t="str">
        <f>IF($B340="","",IFERROR(INDEX(Orders!$D:$D,MATCH($B340,Orders!$A:$A,0)),""))</f>
        <v/>
      </c>
      <c r="E340" s="5"/>
      <c r="F340" s="5"/>
    </row>
    <row r="341" spans="1:6">
      <c r="A341" s="4"/>
      <c r="C341" t="str">
        <f>IF($B341="","",IFERROR(INDEX(Orders!$B:$B,MATCH($B341,Orders!$A:$A,0)),""))</f>
        <v/>
      </c>
      <c r="D341" t="str">
        <f>IF($B341="","",IFERROR(INDEX(Orders!$D:$D,MATCH($B341,Orders!$A:$A,0)),""))</f>
        <v/>
      </c>
      <c r="E341" s="5"/>
      <c r="F341" s="5"/>
    </row>
    <row r="342" spans="1:6">
      <c r="A342" s="4"/>
      <c r="C342" t="str">
        <f>IF($B342="","",IFERROR(INDEX(Orders!$B:$B,MATCH($B342,Orders!$A:$A,0)),""))</f>
        <v/>
      </c>
      <c r="D342" t="str">
        <f>IF($B342="","",IFERROR(INDEX(Orders!$D:$D,MATCH($B342,Orders!$A:$A,0)),""))</f>
        <v/>
      </c>
      <c r="E342" s="5"/>
      <c r="F342" s="5"/>
    </row>
    <row r="343" spans="1:6">
      <c r="A343" s="4"/>
      <c r="C343" t="str">
        <f>IF($B343="","",IFERROR(INDEX(Orders!$B:$B,MATCH($B343,Orders!$A:$A,0)),""))</f>
        <v/>
      </c>
      <c r="D343" t="str">
        <f>IF($B343="","",IFERROR(INDEX(Orders!$D:$D,MATCH($B343,Orders!$A:$A,0)),""))</f>
        <v/>
      </c>
      <c r="E343" s="5"/>
      <c r="F343" s="5"/>
    </row>
    <row r="344" spans="1:6">
      <c r="A344" s="4"/>
      <c r="C344" t="str">
        <f>IF($B344="","",IFERROR(INDEX(Orders!$B:$B,MATCH($B344,Orders!$A:$A,0)),""))</f>
        <v/>
      </c>
      <c r="D344" t="str">
        <f>IF($B344="","",IFERROR(INDEX(Orders!$D:$D,MATCH($B344,Orders!$A:$A,0)),""))</f>
        <v/>
      </c>
      <c r="E344" s="5"/>
      <c r="F344" s="5"/>
    </row>
    <row r="345" spans="1:6">
      <c r="A345" s="4"/>
      <c r="C345" t="str">
        <f>IF($B345="","",IFERROR(INDEX(Orders!$B:$B,MATCH($B345,Orders!$A:$A,0)),""))</f>
        <v/>
      </c>
      <c r="D345" t="str">
        <f>IF($B345="","",IFERROR(INDEX(Orders!$D:$D,MATCH($B345,Orders!$A:$A,0)),""))</f>
        <v/>
      </c>
      <c r="E345" s="5"/>
      <c r="F345" s="5"/>
    </row>
    <row r="346" spans="1:6">
      <c r="A346" s="4"/>
      <c r="C346" t="str">
        <f>IF($B346="","",IFERROR(INDEX(Orders!$B:$B,MATCH($B346,Orders!$A:$A,0)),""))</f>
        <v/>
      </c>
      <c r="D346" t="str">
        <f>IF($B346="","",IFERROR(INDEX(Orders!$D:$D,MATCH($B346,Orders!$A:$A,0)),""))</f>
        <v/>
      </c>
      <c r="E346" s="5"/>
      <c r="F346" s="5"/>
    </row>
    <row r="347" spans="1:6">
      <c r="A347" s="4"/>
      <c r="C347" t="str">
        <f>IF($B347="","",IFERROR(INDEX(Orders!$B:$B,MATCH($B347,Orders!$A:$A,0)),""))</f>
        <v/>
      </c>
      <c r="D347" t="str">
        <f>IF($B347="","",IFERROR(INDEX(Orders!$D:$D,MATCH($B347,Orders!$A:$A,0)),""))</f>
        <v/>
      </c>
      <c r="E347" s="5"/>
      <c r="F347" s="5"/>
    </row>
    <row r="348" spans="1:6">
      <c r="A348" s="4"/>
      <c r="C348" t="str">
        <f>IF($B348="","",IFERROR(INDEX(Orders!$B:$B,MATCH($B348,Orders!$A:$A,0)),""))</f>
        <v/>
      </c>
      <c r="D348" t="str">
        <f>IF($B348="","",IFERROR(INDEX(Orders!$D:$D,MATCH($B348,Orders!$A:$A,0)),""))</f>
        <v/>
      </c>
      <c r="E348" s="5"/>
      <c r="F348" s="5"/>
    </row>
    <row r="349" spans="1:6">
      <c r="A349" s="4"/>
      <c r="C349" t="str">
        <f>IF($B349="","",IFERROR(INDEX(Orders!$B:$B,MATCH($B349,Orders!$A:$A,0)),""))</f>
        <v/>
      </c>
      <c r="D349" t="str">
        <f>IF($B349="","",IFERROR(INDEX(Orders!$D:$D,MATCH($B349,Orders!$A:$A,0)),""))</f>
        <v/>
      </c>
      <c r="E349" s="5"/>
      <c r="F349" s="5"/>
    </row>
    <row r="350" spans="1:6">
      <c r="A350" s="4"/>
      <c r="C350" t="str">
        <f>IF($B350="","",IFERROR(INDEX(Orders!$B:$B,MATCH($B350,Orders!$A:$A,0)),""))</f>
        <v/>
      </c>
      <c r="D350" t="str">
        <f>IF($B350="","",IFERROR(INDEX(Orders!$D:$D,MATCH($B350,Orders!$A:$A,0)),""))</f>
        <v/>
      </c>
      <c r="E350" s="5"/>
      <c r="F350" s="5"/>
    </row>
    <row r="351" spans="1:6">
      <c r="A351" s="4"/>
      <c r="C351" t="str">
        <f>IF($B351="","",IFERROR(INDEX(Orders!$B:$B,MATCH($B351,Orders!$A:$A,0)),""))</f>
        <v/>
      </c>
      <c r="D351" t="str">
        <f>IF($B351="","",IFERROR(INDEX(Orders!$D:$D,MATCH($B351,Orders!$A:$A,0)),""))</f>
        <v/>
      </c>
      <c r="E351" s="5"/>
      <c r="F351" s="5"/>
    </row>
    <row r="352" spans="1:6">
      <c r="A352" s="4"/>
      <c r="C352" t="str">
        <f>IF($B352="","",IFERROR(INDEX(Orders!$B:$B,MATCH($B352,Orders!$A:$A,0)),""))</f>
        <v/>
      </c>
      <c r="D352" t="str">
        <f>IF($B352="","",IFERROR(INDEX(Orders!$D:$D,MATCH($B352,Orders!$A:$A,0)),""))</f>
        <v/>
      </c>
      <c r="E352" s="5"/>
      <c r="F352" s="5"/>
    </row>
    <row r="353" spans="1:6">
      <c r="A353" s="4"/>
      <c r="C353" t="str">
        <f>IF($B353="","",IFERROR(INDEX(Orders!$B:$B,MATCH($B353,Orders!$A:$A,0)),""))</f>
        <v/>
      </c>
      <c r="D353" t="str">
        <f>IF($B353="","",IFERROR(INDEX(Orders!$D:$D,MATCH($B353,Orders!$A:$A,0)),""))</f>
        <v/>
      </c>
      <c r="E353" s="5"/>
      <c r="F353" s="5"/>
    </row>
    <row r="354" spans="1:6">
      <c r="A354" s="4"/>
      <c r="C354" t="str">
        <f>IF($B354="","",IFERROR(INDEX(Orders!$B:$B,MATCH($B354,Orders!$A:$A,0)),""))</f>
        <v/>
      </c>
      <c r="D354" t="str">
        <f>IF($B354="","",IFERROR(INDEX(Orders!$D:$D,MATCH($B354,Orders!$A:$A,0)),""))</f>
        <v/>
      </c>
      <c r="E354" s="5"/>
      <c r="F354" s="5"/>
    </row>
    <row r="355" spans="1:6">
      <c r="A355" s="4"/>
      <c r="C355" t="str">
        <f>IF($B355="","",IFERROR(INDEX(Orders!$B:$B,MATCH($B355,Orders!$A:$A,0)),""))</f>
        <v/>
      </c>
      <c r="D355" t="str">
        <f>IF($B355="","",IFERROR(INDEX(Orders!$D:$D,MATCH($B355,Orders!$A:$A,0)),""))</f>
        <v/>
      </c>
      <c r="E355" s="5"/>
      <c r="F355" s="5"/>
    </row>
    <row r="356" spans="1:6">
      <c r="A356" s="4"/>
      <c r="C356" t="str">
        <f>IF($B356="","",IFERROR(INDEX(Orders!$B:$B,MATCH($B356,Orders!$A:$A,0)),""))</f>
        <v/>
      </c>
      <c r="D356" t="str">
        <f>IF($B356="","",IFERROR(INDEX(Orders!$D:$D,MATCH($B356,Orders!$A:$A,0)),""))</f>
        <v/>
      </c>
      <c r="E356" s="5"/>
      <c r="F356" s="5"/>
    </row>
    <row r="357" spans="1:6">
      <c r="A357" s="4"/>
      <c r="C357" t="str">
        <f>IF($B357="","",IFERROR(INDEX(Orders!$B:$B,MATCH($B357,Orders!$A:$A,0)),""))</f>
        <v/>
      </c>
      <c r="D357" t="str">
        <f>IF($B357="","",IFERROR(INDEX(Orders!$D:$D,MATCH($B357,Orders!$A:$A,0)),""))</f>
        <v/>
      </c>
      <c r="E357" s="5"/>
      <c r="F357" s="5"/>
    </row>
    <row r="358" spans="1:6">
      <c r="A358" s="4"/>
      <c r="C358" t="str">
        <f>IF($B358="","",IFERROR(INDEX(Orders!$B:$B,MATCH($B358,Orders!$A:$A,0)),""))</f>
        <v/>
      </c>
      <c r="D358" t="str">
        <f>IF($B358="","",IFERROR(INDEX(Orders!$D:$D,MATCH($B358,Orders!$A:$A,0)),""))</f>
        <v/>
      </c>
      <c r="E358" s="5"/>
      <c r="F358" s="5"/>
    </row>
    <row r="359" spans="1:6">
      <c r="A359" s="4"/>
      <c r="C359" t="str">
        <f>IF($B359="","",IFERROR(INDEX(Orders!$B:$B,MATCH($B359,Orders!$A:$A,0)),""))</f>
        <v/>
      </c>
      <c r="D359" t="str">
        <f>IF($B359="","",IFERROR(INDEX(Orders!$D:$D,MATCH($B359,Orders!$A:$A,0)),""))</f>
        <v/>
      </c>
      <c r="E359" s="5"/>
      <c r="F359" s="5"/>
    </row>
    <row r="360" spans="1:6">
      <c r="A360" s="4"/>
      <c r="C360" t="str">
        <f>IF($B360="","",IFERROR(INDEX(Orders!$B:$B,MATCH($B360,Orders!$A:$A,0)),""))</f>
        <v/>
      </c>
      <c r="D360" t="str">
        <f>IF($B360="","",IFERROR(INDEX(Orders!$D:$D,MATCH($B360,Orders!$A:$A,0)),""))</f>
        <v/>
      </c>
      <c r="E360" s="5"/>
      <c r="F360" s="5"/>
    </row>
    <row r="361" spans="1:6">
      <c r="A361" s="4"/>
      <c r="C361" t="str">
        <f>IF($B361="","",IFERROR(INDEX(Orders!$B:$B,MATCH($B361,Orders!$A:$A,0)),""))</f>
        <v/>
      </c>
      <c r="D361" t="str">
        <f>IF($B361="","",IFERROR(INDEX(Orders!$D:$D,MATCH($B361,Orders!$A:$A,0)),""))</f>
        <v/>
      </c>
      <c r="E361" s="5"/>
      <c r="F361" s="5"/>
    </row>
    <row r="362" spans="1:6">
      <c r="A362" s="4"/>
      <c r="C362" t="str">
        <f>IF($B362="","",IFERROR(INDEX(Orders!$B:$B,MATCH($B362,Orders!$A:$A,0)),""))</f>
        <v/>
      </c>
      <c r="D362" t="str">
        <f>IF($B362="","",IFERROR(INDEX(Orders!$D:$D,MATCH($B362,Orders!$A:$A,0)),""))</f>
        <v/>
      </c>
      <c r="E362" s="5"/>
      <c r="F362" s="5"/>
    </row>
    <row r="363" spans="1:6">
      <c r="A363" s="4"/>
      <c r="C363" t="str">
        <f>IF($B363="","",IFERROR(INDEX(Orders!$B:$B,MATCH($B363,Orders!$A:$A,0)),""))</f>
        <v/>
      </c>
      <c r="D363" t="str">
        <f>IF($B363="","",IFERROR(INDEX(Orders!$D:$D,MATCH($B363,Orders!$A:$A,0)),""))</f>
        <v/>
      </c>
      <c r="E363" s="5"/>
      <c r="F363" s="5"/>
    </row>
    <row r="364" spans="1:6">
      <c r="A364" s="4"/>
      <c r="C364" t="str">
        <f>IF($B364="","",IFERROR(INDEX(Orders!$B:$B,MATCH($B364,Orders!$A:$A,0)),""))</f>
        <v/>
      </c>
      <c r="D364" t="str">
        <f>IF($B364="","",IFERROR(INDEX(Orders!$D:$D,MATCH($B364,Orders!$A:$A,0)),""))</f>
        <v/>
      </c>
      <c r="E364" s="5"/>
      <c r="F364" s="5"/>
    </row>
    <row r="365" spans="1:6">
      <c r="A365" s="4"/>
      <c r="C365" t="str">
        <f>IF($B365="","",IFERROR(INDEX(Orders!$B:$B,MATCH($B365,Orders!$A:$A,0)),""))</f>
        <v/>
      </c>
      <c r="D365" t="str">
        <f>IF($B365="","",IFERROR(INDEX(Orders!$D:$D,MATCH($B365,Orders!$A:$A,0)),""))</f>
        <v/>
      </c>
      <c r="E365" s="5"/>
      <c r="F365" s="5"/>
    </row>
    <row r="366" spans="1:6">
      <c r="A366" s="4"/>
      <c r="C366" t="str">
        <f>IF($B366="","",IFERROR(INDEX(Orders!$B:$B,MATCH($B366,Orders!$A:$A,0)),""))</f>
        <v/>
      </c>
      <c r="D366" t="str">
        <f>IF($B366="","",IFERROR(INDEX(Orders!$D:$D,MATCH($B366,Orders!$A:$A,0)),""))</f>
        <v/>
      </c>
      <c r="E366" s="5"/>
      <c r="F366" s="5"/>
    </row>
    <row r="367" spans="1:6">
      <c r="A367" s="4"/>
      <c r="C367" t="str">
        <f>IF($B367="","",IFERROR(INDEX(Orders!$B:$B,MATCH($B367,Orders!$A:$A,0)),""))</f>
        <v/>
      </c>
      <c r="D367" t="str">
        <f>IF($B367="","",IFERROR(INDEX(Orders!$D:$D,MATCH($B367,Orders!$A:$A,0)),""))</f>
        <v/>
      </c>
      <c r="E367" s="5"/>
      <c r="F367" s="5"/>
    </row>
    <row r="368" spans="1:6">
      <c r="A368" s="4"/>
      <c r="C368" t="str">
        <f>IF($B368="","",IFERROR(INDEX(Orders!$B:$B,MATCH($B368,Orders!$A:$A,0)),""))</f>
        <v/>
      </c>
      <c r="D368" t="str">
        <f>IF($B368="","",IFERROR(INDEX(Orders!$D:$D,MATCH($B368,Orders!$A:$A,0)),""))</f>
        <v/>
      </c>
      <c r="E368" s="5"/>
      <c r="F368" s="5"/>
    </row>
    <row r="369" spans="1:6">
      <c r="A369" s="4"/>
      <c r="C369" t="str">
        <f>IF($B369="","",IFERROR(INDEX(Orders!$B:$B,MATCH($B369,Orders!$A:$A,0)),""))</f>
        <v/>
      </c>
      <c r="D369" t="str">
        <f>IF($B369="","",IFERROR(INDEX(Orders!$D:$D,MATCH($B369,Orders!$A:$A,0)),""))</f>
        <v/>
      </c>
      <c r="E369" s="5"/>
      <c r="F369" s="5"/>
    </row>
    <row r="370" spans="1:6">
      <c r="A370" s="4"/>
      <c r="C370" t="str">
        <f>IF($B370="","",IFERROR(INDEX(Orders!$B:$B,MATCH($B370,Orders!$A:$A,0)),""))</f>
        <v/>
      </c>
      <c r="D370" t="str">
        <f>IF($B370="","",IFERROR(INDEX(Orders!$D:$D,MATCH($B370,Orders!$A:$A,0)),""))</f>
        <v/>
      </c>
      <c r="E370" s="5"/>
      <c r="F370" s="5"/>
    </row>
    <row r="371" spans="1:6">
      <c r="A371" s="4"/>
      <c r="C371" t="str">
        <f>IF($B371="","",IFERROR(INDEX(Orders!$B:$B,MATCH($B371,Orders!$A:$A,0)),""))</f>
        <v/>
      </c>
      <c r="D371" t="str">
        <f>IF($B371="","",IFERROR(INDEX(Orders!$D:$D,MATCH($B371,Orders!$A:$A,0)),""))</f>
        <v/>
      </c>
      <c r="E371" s="5"/>
      <c r="F371" s="5"/>
    </row>
    <row r="372" spans="1:6">
      <c r="A372" s="4"/>
      <c r="C372" t="str">
        <f>IF($B372="","",IFERROR(INDEX(Orders!$B:$B,MATCH($B372,Orders!$A:$A,0)),""))</f>
        <v/>
      </c>
      <c r="D372" t="str">
        <f>IF($B372="","",IFERROR(INDEX(Orders!$D:$D,MATCH($B372,Orders!$A:$A,0)),""))</f>
        <v/>
      </c>
      <c r="E372" s="5"/>
      <c r="F372" s="5"/>
    </row>
    <row r="373" spans="1:6">
      <c r="A373" s="4"/>
      <c r="C373" t="str">
        <f>IF($B373="","",IFERROR(INDEX(Orders!$B:$B,MATCH($B373,Orders!$A:$A,0)),""))</f>
        <v/>
      </c>
      <c r="D373" t="str">
        <f>IF($B373="","",IFERROR(INDEX(Orders!$D:$D,MATCH($B373,Orders!$A:$A,0)),""))</f>
        <v/>
      </c>
      <c r="E373" s="5"/>
      <c r="F373" s="5"/>
    </row>
    <row r="374" spans="1:6">
      <c r="A374" s="4"/>
      <c r="C374" t="str">
        <f>IF($B374="","",IFERROR(INDEX(Orders!$B:$B,MATCH($B374,Orders!$A:$A,0)),""))</f>
        <v/>
      </c>
      <c r="D374" t="str">
        <f>IF($B374="","",IFERROR(INDEX(Orders!$D:$D,MATCH($B374,Orders!$A:$A,0)),""))</f>
        <v/>
      </c>
      <c r="E374" s="5"/>
      <c r="F374" s="5"/>
    </row>
    <row r="375" spans="1:6">
      <c r="A375" s="4"/>
      <c r="C375" t="str">
        <f>IF($B375="","",IFERROR(INDEX(Orders!$B:$B,MATCH($B375,Orders!$A:$A,0)),""))</f>
        <v/>
      </c>
      <c r="D375" t="str">
        <f>IF($B375="","",IFERROR(INDEX(Orders!$D:$D,MATCH($B375,Orders!$A:$A,0)),""))</f>
        <v/>
      </c>
      <c r="E375" s="5"/>
      <c r="F375" s="5"/>
    </row>
    <row r="376" spans="1:6">
      <c r="A376" s="4"/>
      <c r="C376" t="str">
        <f>IF($B376="","",IFERROR(INDEX(Orders!$B:$B,MATCH($B376,Orders!$A:$A,0)),""))</f>
        <v/>
      </c>
      <c r="D376" t="str">
        <f>IF($B376="","",IFERROR(INDEX(Orders!$D:$D,MATCH($B376,Orders!$A:$A,0)),""))</f>
        <v/>
      </c>
      <c r="E376" s="5"/>
      <c r="F376" s="5"/>
    </row>
    <row r="377" spans="1:6">
      <c r="A377" s="4"/>
      <c r="C377" t="str">
        <f>IF($B377="","",IFERROR(INDEX(Orders!$B:$B,MATCH($B377,Orders!$A:$A,0)),""))</f>
        <v/>
      </c>
      <c r="D377" t="str">
        <f>IF($B377="","",IFERROR(INDEX(Orders!$D:$D,MATCH($B377,Orders!$A:$A,0)),""))</f>
        <v/>
      </c>
      <c r="E377" s="5"/>
      <c r="F377" s="5"/>
    </row>
    <row r="378" spans="1:6">
      <c r="A378" s="4"/>
      <c r="C378" t="str">
        <f>IF($B378="","",IFERROR(INDEX(Orders!$B:$B,MATCH($B378,Orders!$A:$A,0)),""))</f>
        <v/>
      </c>
      <c r="D378" t="str">
        <f>IF($B378="","",IFERROR(INDEX(Orders!$D:$D,MATCH($B378,Orders!$A:$A,0)),""))</f>
        <v/>
      </c>
      <c r="E378" s="5"/>
      <c r="F378" s="5"/>
    </row>
    <row r="379" spans="1:6">
      <c r="A379" s="4"/>
      <c r="C379" t="str">
        <f>IF($B379="","",IFERROR(INDEX(Orders!$B:$B,MATCH($B379,Orders!$A:$A,0)),""))</f>
        <v/>
      </c>
      <c r="D379" t="str">
        <f>IF($B379="","",IFERROR(INDEX(Orders!$D:$D,MATCH($B379,Orders!$A:$A,0)),""))</f>
        <v/>
      </c>
      <c r="E379" s="5"/>
      <c r="F379" s="5"/>
    </row>
    <row r="380" spans="1:6">
      <c r="A380" s="4"/>
      <c r="C380" t="str">
        <f>IF($B380="","",IFERROR(INDEX(Orders!$B:$B,MATCH($B380,Orders!$A:$A,0)),""))</f>
        <v/>
      </c>
      <c r="D380" t="str">
        <f>IF($B380="","",IFERROR(INDEX(Orders!$D:$D,MATCH($B380,Orders!$A:$A,0)),""))</f>
        <v/>
      </c>
      <c r="E380" s="5"/>
      <c r="F380" s="5"/>
    </row>
    <row r="381" spans="1:6">
      <c r="A381" s="4"/>
      <c r="C381" t="str">
        <f>IF($B381="","",IFERROR(INDEX(Orders!$B:$B,MATCH($B381,Orders!$A:$A,0)),""))</f>
        <v/>
      </c>
      <c r="D381" t="str">
        <f>IF($B381="","",IFERROR(INDEX(Orders!$D:$D,MATCH($B381,Orders!$A:$A,0)),""))</f>
        <v/>
      </c>
      <c r="E381" s="5"/>
      <c r="F381" s="5"/>
    </row>
    <row r="382" spans="1:6">
      <c r="A382" s="4"/>
      <c r="C382" t="str">
        <f>IF($B382="","",IFERROR(INDEX(Orders!$B:$B,MATCH($B382,Orders!$A:$A,0)),""))</f>
        <v/>
      </c>
      <c r="D382" t="str">
        <f>IF($B382="","",IFERROR(INDEX(Orders!$D:$D,MATCH($B382,Orders!$A:$A,0)),""))</f>
        <v/>
      </c>
      <c r="E382" s="5"/>
      <c r="F382" s="5"/>
    </row>
    <row r="383" spans="1:6">
      <c r="A383" s="4"/>
      <c r="C383" t="str">
        <f>IF($B383="","",IFERROR(INDEX(Orders!$B:$B,MATCH($B383,Orders!$A:$A,0)),""))</f>
        <v/>
      </c>
      <c r="D383" t="str">
        <f>IF($B383="","",IFERROR(INDEX(Orders!$D:$D,MATCH($B383,Orders!$A:$A,0)),""))</f>
        <v/>
      </c>
      <c r="E383" s="5"/>
      <c r="F383" s="5"/>
    </row>
    <row r="384" spans="1:6">
      <c r="A384" s="4"/>
      <c r="C384" t="str">
        <f>IF($B384="","",IFERROR(INDEX(Orders!$B:$B,MATCH($B384,Orders!$A:$A,0)),""))</f>
        <v/>
      </c>
      <c r="D384" t="str">
        <f>IF($B384="","",IFERROR(INDEX(Orders!$D:$D,MATCH($B384,Orders!$A:$A,0)),""))</f>
        <v/>
      </c>
      <c r="E384" s="5"/>
      <c r="F384" s="5"/>
    </row>
    <row r="385" spans="1:6">
      <c r="A385" s="4"/>
      <c r="C385" t="str">
        <f>IF($B385="","",IFERROR(INDEX(Orders!$B:$B,MATCH($B385,Orders!$A:$A,0)),""))</f>
        <v/>
      </c>
      <c r="D385" t="str">
        <f>IF($B385="","",IFERROR(INDEX(Orders!$D:$D,MATCH($B385,Orders!$A:$A,0)),""))</f>
        <v/>
      </c>
      <c r="E385" s="5"/>
      <c r="F385" s="5"/>
    </row>
    <row r="386" spans="1:6">
      <c r="A386" s="4"/>
      <c r="C386" t="str">
        <f>IF($B386="","",IFERROR(INDEX(Orders!$B:$B,MATCH($B386,Orders!$A:$A,0)),""))</f>
        <v/>
      </c>
      <c r="D386" t="str">
        <f>IF($B386="","",IFERROR(INDEX(Orders!$D:$D,MATCH($B386,Orders!$A:$A,0)),""))</f>
        <v/>
      </c>
      <c r="E386" s="5"/>
      <c r="F386" s="5"/>
    </row>
    <row r="387" spans="1:6">
      <c r="A387" s="4"/>
      <c r="C387" t="str">
        <f>IF($B387="","",IFERROR(INDEX(Orders!$B:$B,MATCH($B387,Orders!$A:$A,0)),""))</f>
        <v/>
      </c>
      <c r="D387" t="str">
        <f>IF($B387="","",IFERROR(INDEX(Orders!$D:$D,MATCH($B387,Orders!$A:$A,0)),""))</f>
        <v/>
      </c>
      <c r="E387" s="5"/>
      <c r="F387" s="5"/>
    </row>
    <row r="388" spans="1:6">
      <c r="A388" s="4"/>
      <c r="C388" t="str">
        <f>IF($B388="","",IFERROR(INDEX(Orders!$B:$B,MATCH($B388,Orders!$A:$A,0)),""))</f>
        <v/>
      </c>
      <c r="D388" t="str">
        <f>IF($B388="","",IFERROR(INDEX(Orders!$D:$D,MATCH($B388,Orders!$A:$A,0)),""))</f>
        <v/>
      </c>
      <c r="E388" s="5"/>
      <c r="F388" s="5"/>
    </row>
    <row r="389" spans="1:6">
      <c r="A389" s="4"/>
      <c r="C389" t="str">
        <f>IF($B389="","",IFERROR(INDEX(Orders!$B:$B,MATCH($B389,Orders!$A:$A,0)),""))</f>
        <v/>
      </c>
      <c r="D389" t="str">
        <f>IF($B389="","",IFERROR(INDEX(Orders!$D:$D,MATCH($B389,Orders!$A:$A,0)),""))</f>
        <v/>
      </c>
      <c r="E389" s="5"/>
      <c r="F389" s="5"/>
    </row>
    <row r="390" spans="1:6">
      <c r="A390" s="4"/>
      <c r="C390" t="str">
        <f>IF($B390="","",IFERROR(INDEX(Orders!$B:$B,MATCH($B390,Orders!$A:$A,0)),""))</f>
        <v/>
      </c>
      <c r="D390" t="str">
        <f>IF($B390="","",IFERROR(INDEX(Orders!$D:$D,MATCH($B390,Orders!$A:$A,0)),""))</f>
        <v/>
      </c>
      <c r="E390" s="5"/>
      <c r="F390" s="5"/>
    </row>
    <row r="391" spans="1:6">
      <c r="A391" s="4"/>
      <c r="C391" t="str">
        <f>IF($B391="","",IFERROR(INDEX(Orders!$B:$B,MATCH($B391,Orders!$A:$A,0)),""))</f>
        <v/>
      </c>
      <c r="D391" t="str">
        <f>IF($B391="","",IFERROR(INDEX(Orders!$D:$D,MATCH($B391,Orders!$A:$A,0)),""))</f>
        <v/>
      </c>
      <c r="E391" s="5"/>
      <c r="F391" s="5"/>
    </row>
    <row r="392" spans="1:6">
      <c r="A392" s="4"/>
      <c r="C392" t="str">
        <f>IF($B392="","",IFERROR(INDEX(Orders!$B:$B,MATCH($B392,Orders!$A:$A,0)),""))</f>
        <v/>
      </c>
      <c r="D392" t="str">
        <f>IF($B392="","",IFERROR(INDEX(Orders!$D:$D,MATCH($B392,Orders!$A:$A,0)),""))</f>
        <v/>
      </c>
      <c r="E392" s="5"/>
      <c r="F392" s="5"/>
    </row>
    <row r="393" spans="1:6">
      <c r="A393" s="4"/>
      <c r="C393" t="str">
        <f>IF($B393="","",IFERROR(INDEX(Orders!$B:$B,MATCH($B393,Orders!$A:$A,0)),""))</f>
        <v/>
      </c>
      <c r="D393" t="str">
        <f>IF($B393="","",IFERROR(INDEX(Orders!$D:$D,MATCH($B393,Orders!$A:$A,0)),""))</f>
        <v/>
      </c>
      <c r="E393" s="5"/>
      <c r="F393" s="5"/>
    </row>
    <row r="394" spans="1:6">
      <c r="A394" s="4"/>
      <c r="C394" t="str">
        <f>IF($B394="","",IFERROR(INDEX(Orders!$B:$B,MATCH($B394,Orders!$A:$A,0)),""))</f>
        <v/>
      </c>
      <c r="D394" t="str">
        <f>IF($B394="","",IFERROR(INDEX(Orders!$D:$D,MATCH($B394,Orders!$A:$A,0)),""))</f>
        <v/>
      </c>
      <c r="E394" s="5"/>
      <c r="F394" s="5"/>
    </row>
    <row r="395" spans="1:6">
      <c r="A395" s="4"/>
      <c r="C395" t="str">
        <f>IF($B395="","",IFERROR(INDEX(Orders!$B:$B,MATCH($B395,Orders!$A:$A,0)),""))</f>
        <v/>
      </c>
      <c r="D395" t="str">
        <f>IF($B395="","",IFERROR(INDEX(Orders!$D:$D,MATCH($B395,Orders!$A:$A,0)),""))</f>
        <v/>
      </c>
      <c r="E395" s="5"/>
      <c r="F395" s="5"/>
    </row>
    <row r="396" spans="1:6">
      <c r="A396" s="4"/>
      <c r="C396" t="str">
        <f>IF($B396="","",IFERROR(INDEX(Orders!$B:$B,MATCH($B396,Orders!$A:$A,0)),""))</f>
        <v/>
      </c>
      <c r="D396" t="str">
        <f>IF($B396="","",IFERROR(INDEX(Orders!$D:$D,MATCH($B396,Orders!$A:$A,0)),""))</f>
        <v/>
      </c>
      <c r="E396" s="5"/>
      <c r="F396" s="5"/>
    </row>
    <row r="397" spans="1:6">
      <c r="A397" s="4"/>
      <c r="C397" t="str">
        <f>IF($B397="","",IFERROR(INDEX(Orders!$B:$B,MATCH($B397,Orders!$A:$A,0)),""))</f>
        <v/>
      </c>
      <c r="D397" t="str">
        <f>IF($B397="","",IFERROR(INDEX(Orders!$D:$D,MATCH($B397,Orders!$A:$A,0)),""))</f>
        <v/>
      </c>
      <c r="E397" s="5"/>
      <c r="F397" s="5"/>
    </row>
    <row r="398" spans="1:6">
      <c r="A398" s="4"/>
      <c r="C398" t="str">
        <f>IF($B398="","",IFERROR(INDEX(Orders!$B:$B,MATCH($B398,Orders!$A:$A,0)),""))</f>
        <v/>
      </c>
      <c r="D398" t="str">
        <f>IF($B398="","",IFERROR(INDEX(Orders!$D:$D,MATCH($B398,Orders!$A:$A,0)),""))</f>
        <v/>
      </c>
      <c r="E398" s="5"/>
      <c r="F398" s="5"/>
    </row>
    <row r="399" spans="1:6">
      <c r="A399" s="4"/>
      <c r="C399" t="str">
        <f>IF($B399="","",IFERROR(INDEX(Orders!$B:$B,MATCH($B399,Orders!$A:$A,0)),""))</f>
        <v/>
      </c>
      <c r="D399" t="str">
        <f>IF($B399="","",IFERROR(INDEX(Orders!$D:$D,MATCH($B399,Orders!$A:$A,0)),""))</f>
        <v/>
      </c>
      <c r="E399" s="5"/>
      <c r="F399" s="5"/>
    </row>
    <row r="400" spans="1:6">
      <c r="A400" s="4"/>
      <c r="C400" t="str">
        <f>IF($B400="","",IFERROR(INDEX(Orders!$B:$B,MATCH($B400,Orders!$A:$A,0)),""))</f>
        <v/>
      </c>
      <c r="D400" t="str">
        <f>IF($B400="","",IFERROR(INDEX(Orders!$D:$D,MATCH($B400,Orders!$A:$A,0)),""))</f>
        <v/>
      </c>
      <c r="E400" s="5"/>
      <c r="F400" s="5"/>
    </row>
    <row r="401" spans="1:6">
      <c r="A401" s="4"/>
      <c r="C401" t="str">
        <f>IF($B401="","",IFERROR(INDEX(Orders!$B:$B,MATCH($B401,Orders!$A:$A,0)),""))</f>
        <v/>
      </c>
      <c r="D401" t="str">
        <f>IF($B401="","",IFERROR(INDEX(Orders!$D:$D,MATCH($B401,Orders!$A:$A,0)),""))</f>
        <v/>
      </c>
      <c r="E401" s="5"/>
      <c r="F401" s="5"/>
    </row>
    <row r="402" spans="1:6">
      <c r="A402" s="4"/>
      <c r="C402" t="str">
        <f>IF($B402="","",IFERROR(INDEX(Orders!$B:$B,MATCH($B402,Orders!$A:$A,0)),""))</f>
        <v/>
      </c>
      <c r="D402" t="str">
        <f>IF($B402="","",IFERROR(INDEX(Orders!$D:$D,MATCH($B402,Orders!$A:$A,0)),""))</f>
        <v/>
      </c>
      <c r="E402" s="5"/>
      <c r="F402" s="5"/>
    </row>
    <row r="403" spans="1:6">
      <c r="A403" s="4"/>
      <c r="C403" t="str">
        <f>IF($B403="","",IFERROR(INDEX(Orders!$B:$B,MATCH($B403,Orders!$A:$A,0)),""))</f>
        <v/>
      </c>
      <c r="D403" t="str">
        <f>IF($B403="","",IFERROR(INDEX(Orders!$D:$D,MATCH($B403,Orders!$A:$A,0)),""))</f>
        <v/>
      </c>
      <c r="E403" s="5"/>
      <c r="F403" s="5"/>
    </row>
    <row r="404" spans="1:6">
      <c r="A404" s="4"/>
      <c r="C404" t="str">
        <f>IF($B404="","",IFERROR(INDEX(Orders!$B:$B,MATCH($B404,Orders!$A:$A,0)),""))</f>
        <v/>
      </c>
      <c r="D404" t="str">
        <f>IF($B404="","",IFERROR(INDEX(Orders!$D:$D,MATCH($B404,Orders!$A:$A,0)),""))</f>
        <v/>
      </c>
      <c r="E404" s="5"/>
      <c r="F404" s="5"/>
    </row>
    <row r="405" spans="1:6">
      <c r="A405" s="4"/>
      <c r="C405" t="str">
        <f>IF($B405="","",IFERROR(INDEX(Orders!$B:$B,MATCH($B405,Orders!$A:$A,0)),""))</f>
        <v/>
      </c>
      <c r="D405" t="str">
        <f>IF($B405="","",IFERROR(INDEX(Orders!$D:$D,MATCH($B405,Orders!$A:$A,0)),""))</f>
        <v/>
      </c>
      <c r="E405" s="5"/>
      <c r="F405" s="5"/>
    </row>
    <row r="406" spans="1:6">
      <c r="A406" s="4"/>
      <c r="C406" t="str">
        <f>IF($B406="","",IFERROR(INDEX(Orders!$B:$B,MATCH($B406,Orders!$A:$A,0)),""))</f>
        <v/>
      </c>
      <c r="D406" t="str">
        <f>IF($B406="","",IFERROR(INDEX(Orders!$D:$D,MATCH($B406,Orders!$A:$A,0)),""))</f>
        <v/>
      </c>
      <c r="E406" s="5"/>
      <c r="F406" s="5"/>
    </row>
    <row r="407" spans="1:6">
      <c r="A407" s="4"/>
      <c r="C407" t="str">
        <f>IF($B407="","",IFERROR(INDEX(Orders!$B:$B,MATCH($B407,Orders!$A:$A,0)),""))</f>
        <v/>
      </c>
      <c r="D407" t="str">
        <f>IF($B407="","",IFERROR(INDEX(Orders!$D:$D,MATCH($B407,Orders!$A:$A,0)),""))</f>
        <v/>
      </c>
      <c r="E407" s="5"/>
      <c r="F407" s="5"/>
    </row>
    <row r="408" spans="1:6">
      <c r="A408" s="4"/>
      <c r="C408" t="str">
        <f>IF($B408="","",IFERROR(INDEX(Orders!$B:$B,MATCH($B408,Orders!$A:$A,0)),""))</f>
        <v/>
      </c>
      <c r="D408" t="str">
        <f>IF($B408="","",IFERROR(INDEX(Orders!$D:$D,MATCH($B408,Orders!$A:$A,0)),""))</f>
        <v/>
      </c>
      <c r="E408" s="5"/>
      <c r="F408" s="5"/>
    </row>
    <row r="409" spans="1:6">
      <c r="A409" s="4"/>
      <c r="C409" t="str">
        <f>IF($B409="","",IFERROR(INDEX(Orders!$B:$B,MATCH($B409,Orders!$A:$A,0)),""))</f>
        <v/>
      </c>
      <c r="D409" t="str">
        <f>IF($B409="","",IFERROR(INDEX(Orders!$D:$D,MATCH($B409,Orders!$A:$A,0)),""))</f>
        <v/>
      </c>
      <c r="E409" s="5"/>
      <c r="F409" s="5"/>
    </row>
    <row r="410" spans="1:6">
      <c r="A410" s="4"/>
      <c r="C410" t="str">
        <f>IF($B410="","",IFERROR(INDEX(Orders!$B:$B,MATCH($B410,Orders!$A:$A,0)),""))</f>
        <v/>
      </c>
      <c r="D410" t="str">
        <f>IF($B410="","",IFERROR(INDEX(Orders!$D:$D,MATCH($B410,Orders!$A:$A,0)),""))</f>
        <v/>
      </c>
      <c r="E410" s="5"/>
      <c r="F410" s="5"/>
    </row>
    <row r="411" spans="1:6">
      <c r="A411" s="4"/>
      <c r="C411" t="str">
        <f>IF($B411="","",IFERROR(INDEX(Orders!$B:$B,MATCH($B411,Orders!$A:$A,0)),""))</f>
        <v/>
      </c>
      <c r="D411" t="str">
        <f>IF($B411="","",IFERROR(INDEX(Orders!$D:$D,MATCH($B411,Orders!$A:$A,0)),""))</f>
        <v/>
      </c>
      <c r="E411" s="5"/>
      <c r="F411" s="5"/>
    </row>
    <row r="412" spans="1:6">
      <c r="A412" s="4"/>
      <c r="C412" t="str">
        <f>IF($B412="","",IFERROR(INDEX(Orders!$B:$B,MATCH($B412,Orders!$A:$A,0)),""))</f>
        <v/>
      </c>
      <c r="D412" t="str">
        <f>IF($B412="","",IFERROR(INDEX(Orders!$D:$D,MATCH($B412,Orders!$A:$A,0)),""))</f>
        <v/>
      </c>
      <c r="E412" s="5"/>
      <c r="F412" s="5"/>
    </row>
    <row r="413" spans="1:6">
      <c r="A413" s="4"/>
      <c r="C413" t="str">
        <f>IF($B413="","",IFERROR(INDEX(Orders!$B:$B,MATCH($B413,Orders!$A:$A,0)),""))</f>
        <v/>
      </c>
      <c r="D413" t="str">
        <f>IF($B413="","",IFERROR(INDEX(Orders!$D:$D,MATCH($B413,Orders!$A:$A,0)),""))</f>
        <v/>
      </c>
      <c r="E413" s="5"/>
      <c r="F413" s="5"/>
    </row>
    <row r="414" spans="1:6">
      <c r="A414" s="4"/>
      <c r="C414" t="str">
        <f>IF($B414="","",IFERROR(INDEX(Orders!$B:$B,MATCH($B414,Orders!$A:$A,0)),""))</f>
        <v/>
      </c>
      <c r="D414" t="str">
        <f>IF($B414="","",IFERROR(INDEX(Orders!$D:$D,MATCH($B414,Orders!$A:$A,0)),""))</f>
        <v/>
      </c>
      <c r="E414" s="5"/>
      <c r="F414" s="5"/>
    </row>
    <row r="415" spans="1:6">
      <c r="A415" s="4"/>
      <c r="C415" t="str">
        <f>IF($B415="","",IFERROR(INDEX(Orders!$B:$B,MATCH($B415,Orders!$A:$A,0)),""))</f>
        <v/>
      </c>
      <c r="D415" t="str">
        <f>IF($B415="","",IFERROR(INDEX(Orders!$D:$D,MATCH($B415,Orders!$A:$A,0)),""))</f>
        <v/>
      </c>
      <c r="E415" s="5"/>
      <c r="F415" s="5"/>
    </row>
    <row r="416" spans="1:6">
      <c r="A416" s="4"/>
      <c r="C416" t="str">
        <f>IF($B416="","",IFERROR(INDEX(Orders!$B:$B,MATCH($B416,Orders!$A:$A,0)),""))</f>
        <v/>
      </c>
      <c r="D416" t="str">
        <f>IF($B416="","",IFERROR(INDEX(Orders!$D:$D,MATCH($B416,Orders!$A:$A,0)),""))</f>
        <v/>
      </c>
      <c r="E416" s="5"/>
      <c r="F416" s="5"/>
    </row>
    <row r="417" spans="1:6">
      <c r="A417" s="4"/>
      <c r="C417" t="str">
        <f>IF($B417="","",IFERROR(INDEX(Orders!$B:$B,MATCH($B417,Orders!$A:$A,0)),""))</f>
        <v/>
      </c>
      <c r="D417" t="str">
        <f>IF($B417="","",IFERROR(INDEX(Orders!$D:$D,MATCH($B417,Orders!$A:$A,0)),""))</f>
        <v/>
      </c>
      <c r="E417" s="5"/>
      <c r="F417" s="5"/>
    </row>
    <row r="418" spans="1:6">
      <c r="A418" s="4"/>
      <c r="C418" t="str">
        <f>IF($B418="","",IFERROR(INDEX(Orders!$B:$B,MATCH($B418,Orders!$A:$A,0)),""))</f>
        <v/>
      </c>
      <c r="D418" t="str">
        <f>IF($B418="","",IFERROR(INDEX(Orders!$D:$D,MATCH($B418,Orders!$A:$A,0)),""))</f>
        <v/>
      </c>
      <c r="E418" s="5"/>
      <c r="F418" s="5"/>
    </row>
    <row r="419" spans="1:6">
      <c r="A419" s="4"/>
      <c r="C419" t="str">
        <f>IF($B419="","",IFERROR(INDEX(Orders!$B:$B,MATCH($B419,Orders!$A:$A,0)),""))</f>
        <v/>
      </c>
      <c r="D419" t="str">
        <f>IF($B419="","",IFERROR(INDEX(Orders!$D:$D,MATCH($B419,Orders!$A:$A,0)),""))</f>
        <v/>
      </c>
      <c r="E419" s="5"/>
      <c r="F419" s="5"/>
    </row>
    <row r="420" spans="1:6">
      <c r="A420" s="4"/>
      <c r="C420" t="str">
        <f>IF($B420="","",IFERROR(INDEX(Orders!$B:$B,MATCH($B420,Orders!$A:$A,0)),""))</f>
        <v/>
      </c>
      <c r="D420" t="str">
        <f>IF($B420="","",IFERROR(INDEX(Orders!$D:$D,MATCH($B420,Orders!$A:$A,0)),""))</f>
        <v/>
      </c>
      <c r="E420" s="5"/>
      <c r="F420" s="5"/>
    </row>
    <row r="421" spans="1:6">
      <c r="A421" s="4"/>
      <c r="C421" t="str">
        <f>IF($B421="","",IFERROR(INDEX(Orders!$B:$B,MATCH($B421,Orders!$A:$A,0)),""))</f>
        <v/>
      </c>
      <c r="D421" t="str">
        <f>IF($B421="","",IFERROR(INDEX(Orders!$D:$D,MATCH($B421,Orders!$A:$A,0)),""))</f>
        <v/>
      </c>
      <c r="E421" s="5"/>
      <c r="F421" s="5"/>
    </row>
    <row r="422" spans="1:6">
      <c r="A422" s="4"/>
      <c r="C422" t="str">
        <f>IF($B422="","",IFERROR(INDEX(Orders!$B:$B,MATCH($B422,Orders!$A:$A,0)),""))</f>
        <v/>
      </c>
      <c r="D422" t="str">
        <f>IF($B422="","",IFERROR(INDEX(Orders!$D:$D,MATCH($B422,Orders!$A:$A,0)),""))</f>
        <v/>
      </c>
      <c r="E422" s="5"/>
      <c r="F422" s="5"/>
    </row>
    <row r="423" spans="1:6">
      <c r="A423" s="4"/>
      <c r="C423" t="str">
        <f>IF($B423="","",IFERROR(INDEX(Orders!$B:$B,MATCH($B423,Orders!$A:$A,0)),""))</f>
        <v/>
      </c>
      <c r="D423" t="str">
        <f>IF($B423="","",IFERROR(INDEX(Orders!$D:$D,MATCH($B423,Orders!$A:$A,0)),""))</f>
        <v/>
      </c>
      <c r="E423" s="5"/>
      <c r="F423" s="5"/>
    </row>
    <row r="424" spans="1:6">
      <c r="A424" s="4"/>
      <c r="C424" t="str">
        <f>IF($B424="","",IFERROR(INDEX(Orders!$B:$B,MATCH($B424,Orders!$A:$A,0)),""))</f>
        <v/>
      </c>
      <c r="D424" t="str">
        <f>IF($B424="","",IFERROR(INDEX(Orders!$D:$D,MATCH($B424,Orders!$A:$A,0)),""))</f>
        <v/>
      </c>
      <c r="E424" s="5"/>
      <c r="F424" s="5"/>
    </row>
    <row r="425" spans="1:6">
      <c r="A425" s="4"/>
      <c r="C425" t="str">
        <f>IF($B425="","",IFERROR(INDEX(Orders!$B:$B,MATCH($B425,Orders!$A:$A,0)),""))</f>
        <v/>
      </c>
      <c r="D425" t="str">
        <f>IF($B425="","",IFERROR(INDEX(Orders!$D:$D,MATCH($B425,Orders!$A:$A,0)),""))</f>
        <v/>
      </c>
      <c r="E425" s="5"/>
      <c r="F425" s="5"/>
    </row>
    <row r="426" spans="1:6">
      <c r="A426" s="4"/>
      <c r="C426" t="str">
        <f>IF($B426="","",IFERROR(INDEX(Orders!$B:$B,MATCH($B426,Orders!$A:$A,0)),""))</f>
        <v/>
      </c>
      <c r="D426" t="str">
        <f>IF($B426="","",IFERROR(INDEX(Orders!$D:$D,MATCH($B426,Orders!$A:$A,0)),""))</f>
        <v/>
      </c>
      <c r="E426" s="5"/>
      <c r="F426" s="5"/>
    </row>
    <row r="427" spans="1:6">
      <c r="A427" s="4"/>
      <c r="C427" t="str">
        <f>IF($B427="","",IFERROR(INDEX(Orders!$B:$B,MATCH($B427,Orders!$A:$A,0)),""))</f>
        <v/>
      </c>
      <c r="D427" t="str">
        <f>IF($B427="","",IFERROR(INDEX(Orders!$D:$D,MATCH($B427,Orders!$A:$A,0)),""))</f>
        <v/>
      </c>
      <c r="E427" s="5"/>
      <c r="F427" s="5"/>
    </row>
    <row r="428" spans="1:6">
      <c r="A428" s="4"/>
      <c r="C428" t="str">
        <f>IF($B428="","",IFERROR(INDEX(Orders!$B:$B,MATCH($B428,Orders!$A:$A,0)),""))</f>
        <v/>
      </c>
      <c r="D428" t="str">
        <f>IF($B428="","",IFERROR(INDEX(Orders!$D:$D,MATCH($B428,Orders!$A:$A,0)),""))</f>
        <v/>
      </c>
      <c r="E428" s="5"/>
      <c r="F428" s="5"/>
    </row>
    <row r="429" spans="1:6">
      <c r="A429" s="4"/>
      <c r="C429" t="str">
        <f>IF($B429="","",IFERROR(INDEX(Orders!$B:$B,MATCH($B429,Orders!$A:$A,0)),""))</f>
        <v/>
      </c>
      <c r="D429" t="str">
        <f>IF($B429="","",IFERROR(INDEX(Orders!$D:$D,MATCH($B429,Orders!$A:$A,0)),""))</f>
        <v/>
      </c>
      <c r="E429" s="5"/>
      <c r="F429" s="5"/>
    </row>
    <row r="430" spans="1:6">
      <c r="A430" s="4"/>
      <c r="C430" t="str">
        <f>IF($B430="","",IFERROR(INDEX(Orders!$B:$B,MATCH($B430,Orders!$A:$A,0)),""))</f>
        <v/>
      </c>
      <c r="D430" t="str">
        <f>IF($B430="","",IFERROR(INDEX(Orders!$D:$D,MATCH($B430,Orders!$A:$A,0)),""))</f>
        <v/>
      </c>
      <c r="E430" s="5"/>
      <c r="F430" s="5"/>
    </row>
    <row r="431" spans="1:6">
      <c r="A431" s="4"/>
      <c r="C431" t="str">
        <f>IF($B431="","",IFERROR(INDEX(Orders!$B:$B,MATCH($B431,Orders!$A:$A,0)),""))</f>
        <v/>
      </c>
      <c r="D431" t="str">
        <f>IF($B431="","",IFERROR(INDEX(Orders!$D:$D,MATCH($B431,Orders!$A:$A,0)),""))</f>
        <v/>
      </c>
      <c r="E431" s="5"/>
      <c r="F431" s="5"/>
    </row>
    <row r="432" spans="1:6">
      <c r="A432" s="4"/>
      <c r="C432" t="str">
        <f>IF($B432="","",IFERROR(INDEX(Orders!$B:$B,MATCH($B432,Orders!$A:$A,0)),""))</f>
        <v/>
      </c>
      <c r="D432" t="str">
        <f>IF($B432="","",IFERROR(INDEX(Orders!$D:$D,MATCH($B432,Orders!$A:$A,0)),""))</f>
        <v/>
      </c>
      <c r="E432" s="5"/>
      <c r="F432" s="5"/>
    </row>
    <row r="433" spans="1:6">
      <c r="A433" s="4"/>
      <c r="C433" t="str">
        <f>IF($B433="","",IFERROR(INDEX(Orders!$B:$B,MATCH($B433,Orders!$A:$A,0)),""))</f>
        <v/>
      </c>
      <c r="D433" t="str">
        <f>IF($B433="","",IFERROR(INDEX(Orders!$D:$D,MATCH($B433,Orders!$A:$A,0)),""))</f>
        <v/>
      </c>
      <c r="E433" s="5"/>
      <c r="F433" s="5"/>
    </row>
    <row r="434" spans="1:6">
      <c r="A434" s="4"/>
      <c r="C434" t="str">
        <f>IF($B434="","",IFERROR(INDEX(Orders!$B:$B,MATCH($B434,Orders!$A:$A,0)),""))</f>
        <v/>
      </c>
      <c r="D434" t="str">
        <f>IF($B434="","",IFERROR(INDEX(Orders!$D:$D,MATCH($B434,Orders!$A:$A,0)),""))</f>
        <v/>
      </c>
      <c r="E434" s="5"/>
      <c r="F434" s="5"/>
    </row>
    <row r="435" spans="1:6">
      <c r="A435" s="4"/>
      <c r="C435" t="str">
        <f>IF($B435="","",IFERROR(INDEX(Orders!$B:$B,MATCH($B435,Orders!$A:$A,0)),""))</f>
        <v/>
      </c>
      <c r="D435" t="str">
        <f>IF($B435="","",IFERROR(INDEX(Orders!$D:$D,MATCH($B435,Orders!$A:$A,0)),""))</f>
        <v/>
      </c>
      <c r="E435" s="5"/>
      <c r="F435" s="5"/>
    </row>
    <row r="436" spans="1:6">
      <c r="A436" s="4"/>
      <c r="C436" t="str">
        <f>IF($B436="","",IFERROR(INDEX(Orders!$B:$B,MATCH($B436,Orders!$A:$A,0)),""))</f>
        <v/>
      </c>
      <c r="D436" t="str">
        <f>IF($B436="","",IFERROR(INDEX(Orders!$D:$D,MATCH($B436,Orders!$A:$A,0)),""))</f>
        <v/>
      </c>
      <c r="E436" s="5"/>
      <c r="F436" s="5"/>
    </row>
    <row r="437" spans="1:6">
      <c r="A437" s="4"/>
      <c r="C437" t="str">
        <f>IF($B437="","",IFERROR(INDEX(Orders!$B:$B,MATCH($B437,Orders!$A:$A,0)),""))</f>
        <v/>
      </c>
      <c r="D437" t="str">
        <f>IF($B437="","",IFERROR(INDEX(Orders!$D:$D,MATCH($B437,Orders!$A:$A,0)),""))</f>
        <v/>
      </c>
      <c r="E437" s="5"/>
      <c r="F437" s="5"/>
    </row>
    <row r="438" spans="1:6">
      <c r="A438" s="4"/>
      <c r="C438" t="str">
        <f>IF($B438="","",IFERROR(INDEX(Orders!$B:$B,MATCH($B438,Orders!$A:$A,0)),""))</f>
        <v/>
      </c>
      <c r="D438" t="str">
        <f>IF($B438="","",IFERROR(INDEX(Orders!$D:$D,MATCH($B438,Orders!$A:$A,0)),""))</f>
        <v/>
      </c>
      <c r="E438" s="5"/>
      <c r="F438" s="5"/>
    </row>
    <row r="439" spans="1:6">
      <c r="A439" s="4"/>
      <c r="C439" t="str">
        <f>IF($B439="","",IFERROR(INDEX(Orders!$B:$B,MATCH($B439,Orders!$A:$A,0)),""))</f>
        <v/>
      </c>
      <c r="D439" t="str">
        <f>IF($B439="","",IFERROR(INDEX(Orders!$D:$D,MATCH($B439,Orders!$A:$A,0)),""))</f>
        <v/>
      </c>
      <c r="E439" s="5"/>
      <c r="F439" s="5"/>
    </row>
    <row r="440" spans="1:6">
      <c r="A440" s="4"/>
      <c r="C440" t="str">
        <f>IF($B440="","",IFERROR(INDEX(Orders!$B:$B,MATCH($B440,Orders!$A:$A,0)),""))</f>
        <v/>
      </c>
      <c r="D440" t="str">
        <f>IF($B440="","",IFERROR(INDEX(Orders!$D:$D,MATCH($B440,Orders!$A:$A,0)),""))</f>
        <v/>
      </c>
      <c r="E440" s="5"/>
      <c r="F440" s="5"/>
    </row>
    <row r="441" spans="1:6">
      <c r="A441" s="4"/>
      <c r="C441" t="str">
        <f>IF($B441="","",IFERROR(INDEX(Orders!$B:$B,MATCH($B441,Orders!$A:$A,0)),""))</f>
        <v/>
      </c>
      <c r="D441" t="str">
        <f>IF($B441="","",IFERROR(INDEX(Orders!$D:$D,MATCH($B441,Orders!$A:$A,0)),""))</f>
        <v/>
      </c>
      <c r="E441" s="5"/>
      <c r="F441" s="5"/>
    </row>
    <row r="442" spans="1:6">
      <c r="A442" s="4"/>
      <c r="C442" t="str">
        <f>IF($B442="","",IFERROR(INDEX(Orders!$B:$B,MATCH($B442,Orders!$A:$A,0)),""))</f>
        <v/>
      </c>
      <c r="D442" t="str">
        <f>IF($B442="","",IFERROR(INDEX(Orders!$D:$D,MATCH($B442,Orders!$A:$A,0)),""))</f>
        <v/>
      </c>
      <c r="E442" s="5"/>
      <c r="F442" s="5"/>
    </row>
    <row r="443" spans="1:6">
      <c r="A443" s="4"/>
      <c r="C443" t="str">
        <f>IF($B443="","",IFERROR(INDEX(Orders!$B:$B,MATCH($B443,Orders!$A:$A,0)),""))</f>
        <v/>
      </c>
      <c r="D443" t="str">
        <f>IF($B443="","",IFERROR(INDEX(Orders!$D:$D,MATCH($B443,Orders!$A:$A,0)),""))</f>
        <v/>
      </c>
      <c r="E443" s="5"/>
      <c r="F443" s="5"/>
    </row>
    <row r="444" spans="1:6">
      <c r="A444" s="4"/>
      <c r="C444" t="str">
        <f>IF($B444="","",IFERROR(INDEX(Orders!$B:$B,MATCH($B444,Orders!$A:$A,0)),""))</f>
        <v/>
      </c>
      <c r="D444" t="str">
        <f>IF($B444="","",IFERROR(INDEX(Orders!$D:$D,MATCH($B444,Orders!$A:$A,0)),""))</f>
        <v/>
      </c>
      <c r="E444" s="5"/>
      <c r="F444" s="5"/>
    </row>
    <row r="445" spans="1:6">
      <c r="A445" s="4"/>
      <c r="C445" t="str">
        <f>IF($B445="","",IFERROR(INDEX(Orders!$B:$B,MATCH($B445,Orders!$A:$A,0)),""))</f>
        <v/>
      </c>
      <c r="D445" t="str">
        <f>IF($B445="","",IFERROR(INDEX(Orders!$D:$D,MATCH($B445,Orders!$A:$A,0)),""))</f>
        <v/>
      </c>
      <c r="E445" s="5"/>
      <c r="F445" s="5"/>
    </row>
    <row r="446" spans="1:6">
      <c r="A446" s="4"/>
      <c r="C446" t="str">
        <f>IF($B446="","",IFERROR(INDEX(Orders!$B:$B,MATCH($B446,Orders!$A:$A,0)),""))</f>
        <v/>
      </c>
      <c r="D446" t="str">
        <f>IF($B446="","",IFERROR(INDEX(Orders!$D:$D,MATCH($B446,Orders!$A:$A,0)),""))</f>
        <v/>
      </c>
      <c r="E446" s="5"/>
      <c r="F446" s="5"/>
    </row>
    <row r="447" spans="1:6">
      <c r="A447" s="4"/>
      <c r="C447" t="str">
        <f>IF($B447="","",IFERROR(INDEX(Orders!$B:$B,MATCH($B447,Orders!$A:$A,0)),""))</f>
        <v/>
      </c>
      <c r="D447" t="str">
        <f>IF($B447="","",IFERROR(INDEX(Orders!$D:$D,MATCH($B447,Orders!$A:$A,0)),""))</f>
        <v/>
      </c>
      <c r="E447" s="5"/>
      <c r="F447" s="5"/>
    </row>
    <row r="448" spans="1:6">
      <c r="A448" s="4"/>
      <c r="C448" t="str">
        <f>IF($B448="","",IFERROR(INDEX(Orders!$B:$B,MATCH($B448,Orders!$A:$A,0)),""))</f>
        <v/>
      </c>
      <c r="D448" t="str">
        <f>IF($B448="","",IFERROR(INDEX(Orders!$D:$D,MATCH($B448,Orders!$A:$A,0)),""))</f>
        <v/>
      </c>
      <c r="E448" s="5"/>
      <c r="F448" s="5"/>
    </row>
    <row r="449" spans="1:6">
      <c r="A449" s="4"/>
      <c r="C449" t="str">
        <f>IF($B449="","",IFERROR(INDEX(Orders!$B:$B,MATCH($B449,Orders!$A:$A,0)),""))</f>
        <v/>
      </c>
      <c r="D449" t="str">
        <f>IF($B449="","",IFERROR(INDEX(Orders!$D:$D,MATCH($B449,Orders!$A:$A,0)),""))</f>
        <v/>
      </c>
      <c r="E449" s="5"/>
      <c r="F449" s="5"/>
    </row>
    <row r="450" spans="1:6">
      <c r="A450" s="4"/>
      <c r="C450" t="str">
        <f>IF($B450="","",IFERROR(INDEX(Orders!$B:$B,MATCH($B450,Orders!$A:$A,0)),""))</f>
        <v/>
      </c>
      <c r="D450" t="str">
        <f>IF($B450="","",IFERROR(INDEX(Orders!$D:$D,MATCH($B450,Orders!$A:$A,0)),""))</f>
        <v/>
      </c>
      <c r="E450" s="5"/>
      <c r="F450" s="5"/>
    </row>
    <row r="451" spans="1:6">
      <c r="A451" s="4"/>
      <c r="C451" t="str">
        <f>IF($B451="","",IFERROR(INDEX(Orders!$B:$B,MATCH($B451,Orders!$A:$A,0)),""))</f>
        <v/>
      </c>
      <c r="D451" t="str">
        <f>IF($B451="","",IFERROR(INDEX(Orders!$D:$D,MATCH($B451,Orders!$A:$A,0)),""))</f>
        <v/>
      </c>
      <c r="E451" s="5"/>
      <c r="F451" s="5"/>
    </row>
    <row r="452" spans="1:6">
      <c r="A452" s="4"/>
      <c r="C452" t="str">
        <f>IF($B452="","",IFERROR(INDEX(Orders!$B:$B,MATCH($B452,Orders!$A:$A,0)),""))</f>
        <v/>
      </c>
      <c r="D452" t="str">
        <f>IF($B452="","",IFERROR(INDEX(Orders!$D:$D,MATCH($B452,Orders!$A:$A,0)),""))</f>
        <v/>
      </c>
      <c r="E452" s="5"/>
      <c r="F452" s="5"/>
    </row>
    <row r="453" spans="1:6">
      <c r="A453" s="4"/>
      <c r="C453" t="str">
        <f>IF($B453="","",IFERROR(INDEX(Orders!$B:$B,MATCH($B453,Orders!$A:$A,0)),""))</f>
        <v/>
      </c>
      <c r="D453" t="str">
        <f>IF($B453="","",IFERROR(INDEX(Orders!$D:$D,MATCH($B453,Orders!$A:$A,0)),""))</f>
        <v/>
      </c>
      <c r="E453" s="5"/>
      <c r="F453" s="5"/>
    </row>
    <row r="454" spans="1:6">
      <c r="A454" s="4"/>
      <c r="C454" t="str">
        <f>IF($B454="","",IFERROR(INDEX(Orders!$B:$B,MATCH($B454,Orders!$A:$A,0)),""))</f>
        <v/>
      </c>
      <c r="D454" t="str">
        <f>IF($B454="","",IFERROR(INDEX(Orders!$D:$D,MATCH($B454,Orders!$A:$A,0)),""))</f>
        <v/>
      </c>
      <c r="E454" s="5"/>
      <c r="F454" s="5"/>
    </row>
    <row r="455" spans="1:6">
      <c r="A455" s="4"/>
      <c r="C455" t="str">
        <f>IF($B455="","",IFERROR(INDEX(Orders!$B:$B,MATCH($B455,Orders!$A:$A,0)),""))</f>
        <v/>
      </c>
      <c r="D455" t="str">
        <f>IF($B455="","",IFERROR(INDEX(Orders!$D:$D,MATCH($B455,Orders!$A:$A,0)),""))</f>
        <v/>
      </c>
      <c r="E455" s="5"/>
      <c r="F455" s="5"/>
    </row>
    <row r="456" spans="1:6">
      <c r="A456" s="4"/>
      <c r="C456" t="str">
        <f>IF($B456="","",IFERROR(INDEX(Orders!$B:$B,MATCH($B456,Orders!$A:$A,0)),""))</f>
        <v/>
      </c>
      <c r="D456" t="str">
        <f>IF($B456="","",IFERROR(INDEX(Orders!$D:$D,MATCH($B456,Orders!$A:$A,0)),""))</f>
        <v/>
      </c>
      <c r="E456" s="5"/>
      <c r="F456" s="5"/>
    </row>
    <row r="457" spans="1:6">
      <c r="A457" s="4"/>
      <c r="C457" t="str">
        <f>IF($B457="","",IFERROR(INDEX(Orders!$B:$B,MATCH($B457,Orders!$A:$A,0)),""))</f>
        <v/>
      </c>
      <c r="D457" t="str">
        <f>IF($B457="","",IFERROR(INDEX(Orders!$D:$D,MATCH($B457,Orders!$A:$A,0)),""))</f>
        <v/>
      </c>
      <c r="E457" s="5"/>
      <c r="F457" s="5"/>
    </row>
    <row r="458" spans="1:6">
      <c r="A458" s="4"/>
      <c r="C458" t="str">
        <f>IF($B458="","",IFERROR(INDEX(Orders!$B:$B,MATCH($B458,Orders!$A:$A,0)),""))</f>
        <v/>
      </c>
      <c r="D458" t="str">
        <f>IF($B458="","",IFERROR(INDEX(Orders!$D:$D,MATCH($B458,Orders!$A:$A,0)),""))</f>
        <v/>
      </c>
      <c r="E458" s="5"/>
      <c r="F458" s="5"/>
    </row>
    <row r="459" spans="1:6">
      <c r="A459" s="4"/>
      <c r="C459" t="str">
        <f>IF($B459="","",IFERROR(INDEX(Orders!$B:$B,MATCH($B459,Orders!$A:$A,0)),""))</f>
        <v/>
      </c>
      <c r="D459" t="str">
        <f>IF($B459="","",IFERROR(INDEX(Orders!$D:$D,MATCH($B459,Orders!$A:$A,0)),""))</f>
        <v/>
      </c>
      <c r="E459" s="5"/>
      <c r="F459" s="5"/>
    </row>
    <row r="460" spans="1:6">
      <c r="A460" s="4"/>
      <c r="C460" t="str">
        <f>IF($B460="","",IFERROR(INDEX(Orders!$B:$B,MATCH($B460,Orders!$A:$A,0)),""))</f>
        <v/>
      </c>
      <c r="D460" t="str">
        <f>IF($B460="","",IFERROR(INDEX(Orders!$D:$D,MATCH($B460,Orders!$A:$A,0)),""))</f>
        <v/>
      </c>
      <c r="E460" s="5"/>
      <c r="F460" s="5"/>
    </row>
    <row r="461" spans="1:6">
      <c r="A461" s="4"/>
      <c r="C461" t="str">
        <f>IF($B461="","",IFERROR(INDEX(Orders!$B:$B,MATCH($B461,Orders!$A:$A,0)),""))</f>
        <v/>
      </c>
      <c r="D461" t="str">
        <f>IF($B461="","",IFERROR(INDEX(Orders!$D:$D,MATCH($B461,Orders!$A:$A,0)),""))</f>
        <v/>
      </c>
      <c r="E461" s="5"/>
      <c r="F461" s="5"/>
    </row>
    <row r="462" spans="1:6">
      <c r="A462" s="4"/>
      <c r="C462" t="str">
        <f>IF($B462="","",IFERROR(INDEX(Orders!$B:$B,MATCH($B462,Orders!$A:$A,0)),""))</f>
        <v/>
      </c>
      <c r="D462" t="str">
        <f>IF($B462="","",IFERROR(INDEX(Orders!$D:$D,MATCH($B462,Orders!$A:$A,0)),""))</f>
        <v/>
      </c>
      <c r="E462" s="5"/>
      <c r="F462" s="5"/>
    </row>
    <row r="463" spans="1:6">
      <c r="A463" s="4"/>
      <c r="C463" t="str">
        <f>IF($B463="","",IFERROR(INDEX(Orders!$B:$B,MATCH($B463,Orders!$A:$A,0)),""))</f>
        <v/>
      </c>
      <c r="D463" t="str">
        <f>IF($B463="","",IFERROR(INDEX(Orders!$D:$D,MATCH($B463,Orders!$A:$A,0)),""))</f>
        <v/>
      </c>
      <c r="E463" s="5"/>
      <c r="F463" s="5"/>
    </row>
    <row r="464" spans="1:6">
      <c r="A464" s="4"/>
      <c r="C464" t="str">
        <f>IF($B464="","",IFERROR(INDEX(Orders!$B:$B,MATCH($B464,Orders!$A:$A,0)),""))</f>
        <v/>
      </c>
      <c r="D464" t="str">
        <f>IF($B464="","",IFERROR(INDEX(Orders!$D:$D,MATCH($B464,Orders!$A:$A,0)),""))</f>
        <v/>
      </c>
      <c r="E464" s="5"/>
      <c r="F464" s="5"/>
    </row>
    <row r="465" spans="1:6">
      <c r="A465" s="4"/>
      <c r="C465" t="str">
        <f>IF($B465="","",IFERROR(INDEX(Orders!$B:$B,MATCH($B465,Orders!$A:$A,0)),""))</f>
        <v/>
      </c>
      <c r="D465" t="str">
        <f>IF($B465="","",IFERROR(INDEX(Orders!$D:$D,MATCH($B465,Orders!$A:$A,0)),""))</f>
        <v/>
      </c>
      <c r="E465" s="5"/>
      <c r="F465" s="5"/>
    </row>
    <row r="466" spans="1:6">
      <c r="A466" s="4"/>
      <c r="C466" t="str">
        <f>IF($B466="","",IFERROR(INDEX(Orders!$B:$B,MATCH($B466,Orders!$A:$A,0)),""))</f>
        <v/>
      </c>
      <c r="D466" t="str">
        <f>IF($B466="","",IFERROR(INDEX(Orders!$D:$D,MATCH($B466,Orders!$A:$A,0)),""))</f>
        <v/>
      </c>
      <c r="E466" s="5"/>
      <c r="F466" s="5"/>
    </row>
    <row r="467" spans="1:6">
      <c r="A467" s="4"/>
      <c r="C467" t="str">
        <f>IF($B467="","",IFERROR(INDEX(Orders!$B:$B,MATCH($B467,Orders!$A:$A,0)),""))</f>
        <v/>
      </c>
      <c r="D467" t="str">
        <f>IF($B467="","",IFERROR(INDEX(Orders!$D:$D,MATCH($B467,Orders!$A:$A,0)),""))</f>
        <v/>
      </c>
      <c r="E467" s="5"/>
      <c r="F467" s="5"/>
    </row>
    <row r="468" spans="1:6">
      <c r="A468" s="4"/>
      <c r="C468" t="str">
        <f>IF($B468="","",IFERROR(INDEX(Orders!$B:$B,MATCH($B468,Orders!$A:$A,0)),""))</f>
        <v/>
      </c>
      <c r="D468" t="str">
        <f>IF($B468="","",IFERROR(INDEX(Orders!$D:$D,MATCH($B468,Orders!$A:$A,0)),""))</f>
        <v/>
      </c>
      <c r="E468" s="5"/>
      <c r="F468" s="5"/>
    </row>
    <row r="469" spans="1:6">
      <c r="A469" s="4"/>
      <c r="C469" t="str">
        <f>IF($B469="","",IFERROR(INDEX(Orders!$B:$B,MATCH($B469,Orders!$A:$A,0)),""))</f>
        <v/>
      </c>
      <c r="D469" t="str">
        <f>IF($B469="","",IFERROR(INDEX(Orders!$D:$D,MATCH($B469,Orders!$A:$A,0)),""))</f>
        <v/>
      </c>
      <c r="E469" s="5"/>
      <c r="F469" s="5"/>
    </row>
    <row r="470" spans="1:6">
      <c r="A470" s="4"/>
      <c r="C470" t="str">
        <f>IF($B470="","",IFERROR(INDEX(Orders!$B:$B,MATCH($B470,Orders!$A:$A,0)),""))</f>
        <v/>
      </c>
      <c r="D470" t="str">
        <f>IF($B470="","",IFERROR(INDEX(Orders!$D:$D,MATCH($B470,Orders!$A:$A,0)),""))</f>
        <v/>
      </c>
      <c r="E470" s="5"/>
      <c r="F470" s="5"/>
    </row>
    <row r="471" spans="1:6">
      <c r="A471" s="4"/>
      <c r="C471" t="str">
        <f>IF($B471="","",IFERROR(INDEX(Orders!$B:$B,MATCH($B471,Orders!$A:$A,0)),""))</f>
        <v/>
      </c>
      <c r="D471" t="str">
        <f>IF($B471="","",IFERROR(INDEX(Orders!$D:$D,MATCH($B471,Orders!$A:$A,0)),""))</f>
        <v/>
      </c>
      <c r="E471" s="5"/>
      <c r="F471" s="5"/>
    </row>
    <row r="472" spans="1:6">
      <c r="A472" s="4"/>
      <c r="C472" t="str">
        <f>IF($B472="","",IFERROR(INDEX(Orders!$B:$B,MATCH($B472,Orders!$A:$A,0)),""))</f>
        <v/>
      </c>
      <c r="D472" t="str">
        <f>IF($B472="","",IFERROR(INDEX(Orders!$D:$D,MATCH($B472,Orders!$A:$A,0)),""))</f>
        <v/>
      </c>
      <c r="E472" s="5"/>
      <c r="F472" s="5"/>
    </row>
    <row r="473" spans="1:6">
      <c r="A473" s="4"/>
      <c r="C473" t="str">
        <f>IF($B473="","",IFERROR(INDEX(Orders!$B:$B,MATCH($B473,Orders!$A:$A,0)),""))</f>
        <v/>
      </c>
      <c r="D473" t="str">
        <f>IF($B473="","",IFERROR(INDEX(Orders!$D:$D,MATCH($B473,Orders!$A:$A,0)),""))</f>
        <v/>
      </c>
      <c r="E473" s="5"/>
      <c r="F473" s="5"/>
    </row>
    <row r="474" spans="1:6">
      <c r="A474" s="4"/>
      <c r="C474" t="str">
        <f>IF($B474="","",IFERROR(INDEX(Orders!$B:$B,MATCH($B474,Orders!$A:$A,0)),""))</f>
        <v/>
      </c>
      <c r="D474" t="str">
        <f>IF($B474="","",IFERROR(INDEX(Orders!$D:$D,MATCH($B474,Orders!$A:$A,0)),""))</f>
        <v/>
      </c>
      <c r="E474" s="5"/>
      <c r="F474" s="5"/>
    </row>
    <row r="475" spans="1:6">
      <c r="A475" s="4"/>
      <c r="C475" t="str">
        <f>IF($B475="","",IFERROR(INDEX(Orders!$B:$B,MATCH($B475,Orders!$A:$A,0)),""))</f>
        <v/>
      </c>
      <c r="D475" t="str">
        <f>IF($B475="","",IFERROR(INDEX(Orders!$D:$D,MATCH($B475,Orders!$A:$A,0)),""))</f>
        <v/>
      </c>
      <c r="E475" s="5"/>
      <c r="F475" s="5"/>
    </row>
    <row r="476" spans="1:6">
      <c r="A476" s="4"/>
      <c r="C476" t="str">
        <f>IF($B476="","",IFERROR(INDEX(Orders!$B:$B,MATCH($B476,Orders!$A:$A,0)),""))</f>
        <v/>
      </c>
      <c r="D476" t="str">
        <f>IF($B476="","",IFERROR(INDEX(Orders!$D:$D,MATCH($B476,Orders!$A:$A,0)),""))</f>
        <v/>
      </c>
      <c r="E476" s="5"/>
      <c r="F476" s="5"/>
    </row>
    <row r="477" spans="1:6">
      <c r="A477" s="4"/>
      <c r="C477" t="str">
        <f>IF($B477="","",IFERROR(INDEX(Orders!$B:$B,MATCH($B477,Orders!$A:$A,0)),""))</f>
        <v/>
      </c>
      <c r="D477" t="str">
        <f>IF($B477="","",IFERROR(INDEX(Orders!$D:$D,MATCH($B477,Orders!$A:$A,0)),""))</f>
        <v/>
      </c>
      <c r="E477" s="5"/>
      <c r="F477" s="5"/>
    </row>
    <row r="478" spans="1:6">
      <c r="A478" s="4"/>
      <c r="C478" t="str">
        <f>IF($B478="","",IFERROR(INDEX(Orders!$B:$B,MATCH($B478,Orders!$A:$A,0)),""))</f>
        <v/>
      </c>
      <c r="D478" t="str">
        <f>IF($B478="","",IFERROR(INDEX(Orders!$D:$D,MATCH($B478,Orders!$A:$A,0)),""))</f>
        <v/>
      </c>
      <c r="E478" s="5"/>
      <c r="F478" s="5"/>
    </row>
    <row r="479" spans="1:6">
      <c r="A479" s="4"/>
      <c r="C479" t="str">
        <f>IF($B479="","",IFERROR(INDEX(Orders!$B:$B,MATCH($B479,Orders!$A:$A,0)),""))</f>
        <v/>
      </c>
      <c r="D479" t="str">
        <f>IF($B479="","",IFERROR(INDEX(Orders!$D:$D,MATCH($B479,Orders!$A:$A,0)),""))</f>
        <v/>
      </c>
      <c r="E479" s="5"/>
      <c r="F479" s="5"/>
    </row>
    <row r="480" spans="1:6">
      <c r="A480" s="4"/>
      <c r="C480" t="str">
        <f>IF($B480="","",IFERROR(INDEX(Orders!$B:$B,MATCH($B480,Orders!$A:$A,0)),""))</f>
        <v/>
      </c>
      <c r="D480" t="str">
        <f>IF($B480="","",IFERROR(INDEX(Orders!$D:$D,MATCH($B480,Orders!$A:$A,0)),""))</f>
        <v/>
      </c>
      <c r="E480" s="5"/>
      <c r="F480" s="5"/>
    </row>
    <row r="481" spans="1:6">
      <c r="A481" s="4"/>
      <c r="C481" t="str">
        <f>IF($B481="","",IFERROR(INDEX(Orders!$B:$B,MATCH($B481,Orders!$A:$A,0)),""))</f>
        <v/>
      </c>
      <c r="D481" t="str">
        <f>IF($B481="","",IFERROR(INDEX(Orders!$D:$D,MATCH($B481,Orders!$A:$A,0)),""))</f>
        <v/>
      </c>
      <c r="E481" s="5"/>
      <c r="F481" s="5"/>
    </row>
    <row r="482" spans="1:6">
      <c r="A482" s="4"/>
      <c r="C482" t="str">
        <f>IF($B482="","",IFERROR(INDEX(Orders!$B:$B,MATCH($B482,Orders!$A:$A,0)),""))</f>
        <v/>
      </c>
      <c r="D482" t="str">
        <f>IF($B482="","",IFERROR(INDEX(Orders!$D:$D,MATCH($B482,Orders!$A:$A,0)),""))</f>
        <v/>
      </c>
      <c r="E482" s="5"/>
      <c r="F482" s="5"/>
    </row>
    <row r="483" spans="1:6">
      <c r="A483" s="4"/>
      <c r="C483" t="str">
        <f>IF($B483="","",IFERROR(INDEX(Orders!$B:$B,MATCH($B483,Orders!$A:$A,0)),""))</f>
        <v/>
      </c>
      <c r="D483" t="str">
        <f>IF($B483="","",IFERROR(INDEX(Orders!$D:$D,MATCH($B483,Orders!$A:$A,0)),""))</f>
        <v/>
      </c>
      <c r="E483" s="5"/>
      <c r="F483" s="5"/>
    </row>
    <row r="484" spans="1:6">
      <c r="A484" s="4"/>
      <c r="C484" t="str">
        <f>IF($B484="","",IFERROR(INDEX(Orders!$B:$B,MATCH($B484,Orders!$A:$A,0)),""))</f>
        <v/>
      </c>
      <c r="D484" t="str">
        <f>IF($B484="","",IFERROR(INDEX(Orders!$D:$D,MATCH($B484,Orders!$A:$A,0)),""))</f>
        <v/>
      </c>
      <c r="E484" s="5"/>
      <c r="F484" s="5"/>
    </row>
    <row r="485" spans="1:6">
      <c r="A485" s="4"/>
      <c r="C485" t="str">
        <f>IF($B485="","",IFERROR(INDEX(Orders!$B:$B,MATCH($B485,Orders!$A:$A,0)),""))</f>
        <v/>
      </c>
      <c r="D485" t="str">
        <f>IF($B485="","",IFERROR(INDEX(Orders!$D:$D,MATCH($B485,Orders!$A:$A,0)),""))</f>
        <v/>
      </c>
      <c r="E485" s="5"/>
      <c r="F485" s="5"/>
    </row>
    <row r="486" spans="1:6">
      <c r="A486" s="4"/>
      <c r="C486" t="str">
        <f>IF($B486="","",IFERROR(INDEX(Orders!$B:$B,MATCH($B486,Orders!$A:$A,0)),""))</f>
        <v/>
      </c>
      <c r="D486" t="str">
        <f>IF($B486="","",IFERROR(INDEX(Orders!$D:$D,MATCH($B486,Orders!$A:$A,0)),""))</f>
        <v/>
      </c>
      <c r="E486" s="5"/>
      <c r="F486" s="5"/>
    </row>
    <row r="487" spans="1:6">
      <c r="A487" s="4"/>
      <c r="C487" t="str">
        <f>IF($B487="","",IFERROR(INDEX(Orders!$B:$B,MATCH($B487,Orders!$A:$A,0)),""))</f>
        <v/>
      </c>
      <c r="D487" t="str">
        <f>IF($B487="","",IFERROR(INDEX(Orders!$D:$D,MATCH($B487,Orders!$A:$A,0)),""))</f>
        <v/>
      </c>
      <c r="E487" s="5"/>
      <c r="F487" s="5"/>
    </row>
    <row r="488" spans="1:6">
      <c r="A488" s="4"/>
      <c r="C488" t="str">
        <f>IF($B488="","",IFERROR(INDEX(Orders!$B:$B,MATCH($B488,Orders!$A:$A,0)),""))</f>
        <v/>
      </c>
      <c r="D488" t="str">
        <f>IF($B488="","",IFERROR(INDEX(Orders!$D:$D,MATCH($B488,Orders!$A:$A,0)),""))</f>
        <v/>
      </c>
      <c r="E488" s="5"/>
      <c r="F488" s="5"/>
    </row>
    <row r="489" spans="1:6">
      <c r="A489" s="4"/>
      <c r="C489" t="str">
        <f>IF($B489="","",IFERROR(INDEX(Orders!$B:$B,MATCH($B489,Orders!$A:$A,0)),""))</f>
        <v/>
      </c>
      <c r="D489" t="str">
        <f>IF($B489="","",IFERROR(INDEX(Orders!$D:$D,MATCH($B489,Orders!$A:$A,0)),""))</f>
        <v/>
      </c>
      <c r="E489" s="5"/>
      <c r="F489" s="5"/>
    </row>
    <row r="490" spans="1:6">
      <c r="A490" s="4"/>
      <c r="C490" t="str">
        <f>IF($B490="","",IFERROR(INDEX(Orders!$B:$B,MATCH($B490,Orders!$A:$A,0)),""))</f>
        <v/>
      </c>
      <c r="D490" t="str">
        <f>IF($B490="","",IFERROR(INDEX(Orders!$D:$D,MATCH($B490,Orders!$A:$A,0)),""))</f>
        <v/>
      </c>
      <c r="E490" s="5"/>
      <c r="F490" s="5"/>
    </row>
    <row r="491" spans="1:6">
      <c r="A491" s="4"/>
      <c r="C491" t="str">
        <f>IF($B491="","",IFERROR(INDEX(Orders!$B:$B,MATCH($B491,Orders!$A:$A,0)),""))</f>
        <v/>
      </c>
      <c r="D491" t="str">
        <f>IF($B491="","",IFERROR(INDEX(Orders!$D:$D,MATCH($B491,Orders!$A:$A,0)),""))</f>
        <v/>
      </c>
      <c r="E491" s="5"/>
      <c r="F491" s="5"/>
    </row>
    <row r="492" spans="1:6">
      <c r="A492" s="4"/>
      <c r="C492" t="str">
        <f>IF($B492="","",IFERROR(INDEX(Orders!$B:$B,MATCH($B492,Orders!$A:$A,0)),""))</f>
        <v/>
      </c>
      <c r="D492" t="str">
        <f>IF($B492="","",IFERROR(INDEX(Orders!$D:$D,MATCH($B492,Orders!$A:$A,0)),""))</f>
        <v/>
      </c>
      <c r="E492" s="5"/>
      <c r="F492" s="5"/>
    </row>
    <row r="493" spans="1:6">
      <c r="A493" s="4"/>
      <c r="C493" t="str">
        <f>IF($B493="","",IFERROR(INDEX(Orders!$B:$B,MATCH($B493,Orders!$A:$A,0)),""))</f>
        <v/>
      </c>
      <c r="D493" t="str">
        <f>IF($B493="","",IFERROR(INDEX(Orders!$D:$D,MATCH($B493,Orders!$A:$A,0)),""))</f>
        <v/>
      </c>
      <c r="E493" s="5"/>
      <c r="F493" s="5"/>
    </row>
    <row r="494" spans="1:6">
      <c r="A494" s="4"/>
      <c r="C494" t="str">
        <f>IF($B494="","",IFERROR(INDEX(Orders!$B:$B,MATCH($B494,Orders!$A:$A,0)),""))</f>
        <v/>
      </c>
      <c r="D494" t="str">
        <f>IF($B494="","",IFERROR(INDEX(Orders!$D:$D,MATCH($B494,Orders!$A:$A,0)),""))</f>
        <v/>
      </c>
      <c r="E494" s="5"/>
      <c r="F494" s="5"/>
    </row>
    <row r="495" spans="1:6">
      <c r="A495" s="4"/>
      <c r="C495" t="str">
        <f>IF($B495="","",IFERROR(INDEX(Orders!$B:$B,MATCH($B495,Orders!$A:$A,0)),""))</f>
        <v/>
      </c>
      <c r="D495" t="str">
        <f>IF($B495="","",IFERROR(INDEX(Orders!$D:$D,MATCH($B495,Orders!$A:$A,0)),""))</f>
        <v/>
      </c>
      <c r="E495" s="5"/>
      <c r="F495" s="5"/>
    </row>
    <row r="496" spans="1:6">
      <c r="A496" s="4"/>
      <c r="C496" t="str">
        <f>IF($B496="","",IFERROR(INDEX(Orders!$B:$B,MATCH($B496,Orders!$A:$A,0)),""))</f>
        <v/>
      </c>
      <c r="D496" t="str">
        <f>IF($B496="","",IFERROR(INDEX(Orders!$D:$D,MATCH($B496,Orders!$A:$A,0)),""))</f>
        <v/>
      </c>
      <c r="E496" s="5"/>
      <c r="F496" s="5"/>
    </row>
    <row r="497" spans="1:6">
      <c r="A497" s="4"/>
      <c r="C497" t="str">
        <f>IF($B497="","",IFERROR(INDEX(Orders!$B:$B,MATCH($B497,Orders!$A:$A,0)),""))</f>
        <v/>
      </c>
      <c r="D497" t="str">
        <f>IF($B497="","",IFERROR(INDEX(Orders!$D:$D,MATCH($B497,Orders!$A:$A,0)),""))</f>
        <v/>
      </c>
      <c r="E497" s="5"/>
      <c r="F497" s="5"/>
    </row>
    <row r="498" spans="1:6">
      <c r="A498" s="4"/>
      <c r="C498" t="str">
        <f>IF($B498="","",IFERROR(INDEX(Orders!$B:$B,MATCH($B498,Orders!$A:$A,0)),""))</f>
        <v/>
      </c>
      <c r="D498" t="str">
        <f>IF($B498="","",IFERROR(INDEX(Orders!$D:$D,MATCH($B498,Orders!$A:$A,0)),""))</f>
        <v/>
      </c>
      <c r="E498" s="5"/>
      <c r="F498" s="5"/>
    </row>
    <row r="499" spans="1:6">
      <c r="A499" s="4"/>
      <c r="C499" t="str">
        <f>IF($B499="","",IFERROR(INDEX(Orders!$B:$B,MATCH($B499,Orders!$A:$A,0)),""))</f>
        <v/>
      </c>
      <c r="D499" t="str">
        <f>IF($B499="","",IFERROR(INDEX(Orders!$D:$D,MATCH($B499,Orders!$A:$A,0)),""))</f>
        <v/>
      </c>
      <c r="E499" s="5"/>
      <c r="F499" s="5"/>
    </row>
    <row r="500" spans="1:6">
      <c r="A500" s="4"/>
      <c r="C500" t="str">
        <f>IF($B500="","",IFERROR(INDEX(Orders!$B:$B,MATCH($B500,Orders!$A:$A,0)),""))</f>
        <v/>
      </c>
      <c r="D500" t="str">
        <f>IF($B500="","",IFERROR(INDEX(Orders!$D:$D,MATCH($B500,Orders!$A:$A,0)),""))</f>
        <v/>
      </c>
      <c r="E500" s="5"/>
      <c r="F500" s="5"/>
    </row>
  </sheetData>
  <conditionalFormatting sqref="I2:I500">
    <cfRule type="expression" dxfId="1" priority="1">
      <formula>I2="Accepted"</formula>
    </cfRule>
    <cfRule type="expression" dxfId="0" priority="2">
      <formula>I2="Rejected"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Lists!$G$2:$G$5</xm:f>
          </x14:formula1>
          <xm:sqref>I2:I500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ColWidth="8.875" defaultRowHeight="14.1"/>
  <cols>
    <col min="1" max="1" width="24.625" customWidth="1"/>
    <col min="2" max="2" width="13.625" customWidth="1"/>
    <col min="3" max="3" width="13.5" customWidth="1"/>
    <col min="4" max="4" width="12.125" customWidth="1"/>
    <col min="6" max="6" width="12" customWidth="1"/>
    <col min="7" max="7" width="17" customWidth="1"/>
  </cols>
  <sheetData>
    <row r="1" spans="1:7" ht="37.35" customHeight="1">
      <c r="A1" s="1" t="s">
        <v>101</v>
      </c>
      <c r="B1" s="1" t="s">
        <v>102</v>
      </c>
      <c r="C1" s="1" t="s">
        <v>74</v>
      </c>
      <c r="D1" s="1" t="s">
        <v>62</v>
      </c>
      <c r="E1" s="2"/>
      <c r="F1" s="1" t="s">
        <v>67</v>
      </c>
      <c r="G1" s="1" t="s">
        <v>99</v>
      </c>
    </row>
    <row r="2" spans="1:7">
      <c r="A2" t="s">
        <v>81</v>
      </c>
      <c r="B2" t="s">
        <v>103</v>
      </c>
      <c r="C2" t="s">
        <v>104</v>
      </c>
      <c r="D2" t="s">
        <v>105</v>
      </c>
      <c r="F2" t="s">
        <v>106</v>
      </c>
      <c r="G2" t="s">
        <v>105</v>
      </c>
    </row>
    <row r="3" spans="1:7">
      <c r="A3" t="s">
        <v>82</v>
      </c>
      <c r="B3" t="s">
        <v>107</v>
      </c>
      <c r="C3" t="s">
        <v>108</v>
      </c>
      <c r="D3" t="s">
        <v>109</v>
      </c>
      <c r="F3" t="s">
        <v>110</v>
      </c>
      <c r="G3" t="s">
        <v>111</v>
      </c>
    </row>
    <row r="4" spans="1:7">
      <c r="A4" t="s">
        <v>83</v>
      </c>
      <c r="B4" t="s">
        <v>112</v>
      </c>
      <c r="C4" t="s">
        <v>113</v>
      </c>
      <c r="D4" t="s">
        <v>114</v>
      </c>
      <c r="F4" t="s">
        <v>115</v>
      </c>
      <c r="G4" t="s">
        <v>116</v>
      </c>
    </row>
    <row r="5" spans="1:7">
      <c r="A5" t="s">
        <v>84</v>
      </c>
      <c r="B5" t="s">
        <v>117</v>
      </c>
      <c r="C5" t="s">
        <v>16</v>
      </c>
      <c r="D5" t="s">
        <v>118</v>
      </c>
      <c r="F5" t="s">
        <v>119</v>
      </c>
      <c r="G5" t="s">
        <v>120</v>
      </c>
    </row>
    <row r="6" spans="1:7">
      <c r="A6" t="s">
        <v>85</v>
      </c>
      <c r="B6" t="s">
        <v>121</v>
      </c>
      <c r="C6" t="s">
        <v>122</v>
      </c>
      <c r="D6" t="s">
        <v>123</v>
      </c>
      <c r="F6" t="s">
        <v>124</v>
      </c>
    </row>
    <row r="7" spans="1:7">
      <c r="A7" t="s">
        <v>86</v>
      </c>
      <c r="B7" t="s">
        <v>125</v>
      </c>
      <c r="C7" t="s">
        <v>126</v>
      </c>
      <c r="D7" t="s">
        <v>127</v>
      </c>
      <c r="F7" t="s">
        <v>123</v>
      </c>
    </row>
    <row r="8" spans="1:7">
      <c r="A8" t="s">
        <v>87</v>
      </c>
      <c r="D8" t="s">
        <v>116</v>
      </c>
    </row>
    <row r="9" spans="1:7">
      <c r="A9" t="s">
        <v>88</v>
      </c>
    </row>
    <row r="10" spans="1:7">
      <c r="A10" t="s">
        <v>89</v>
      </c>
    </row>
    <row r="11" spans="1:7">
      <c r="A11" t="s">
        <v>90</v>
      </c>
    </row>
    <row r="12" spans="1:7">
      <c r="A12" t="s">
        <v>91</v>
      </c>
    </row>
    <row r="13" spans="1:7">
      <c r="A13" t="s">
        <v>92</v>
      </c>
    </row>
    <row r="14" spans="1:7">
      <c r="A14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workbookViewId="0">
      <selection sqref="A1:H1"/>
    </sheetView>
  </sheetViews>
  <sheetFormatPr defaultColWidth="8.875" defaultRowHeight="14.1"/>
  <cols>
    <col min="1" max="1" width="8" customWidth="1"/>
    <col min="2" max="8" width="22" customWidth="1"/>
  </cols>
  <sheetData>
    <row r="1" spans="1:8" ht="37.35" customHeight="1">
      <c r="A1" s="8" t="s">
        <v>128</v>
      </c>
      <c r="B1" s="9"/>
      <c r="C1" s="9"/>
      <c r="D1" s="9"/>
      <c r="E1" s="9"/>
      <c r="F1" s="9"/>
      <c r="G1" s="9"/>
      <c r="H1" s="9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0" t="s">
        <v>129</v>
      </c>
      <c r="B3" s="9"/>
      <c r="C3" s="9"/>
      <c r="D3" s="9"/>
      <c r="E3" s="9"/>
      <c r="F3" s="9"/>
      <c r="G3" s="9"/>
      <c r="H3" s="9"/>
    </row>
    <row r="4" spans="1:8">
      <c r="A4" s="9" t="s">
        <v>130</v>
      </c>
      <c r="B4" s="9"/>
      <c r="C4" s="9"/>
      <c r="D4" s="9"/>
      <c r="E4" s="9"/>
      <c r="F4" s="9"/>
      <c r="G4" s="9"/>
      <c r="H4" s="9"/>
    </row>
    <row r="5" spans="1:8">
      <c r="A5" s="9"/>
      <c r="B5" s="9"/>
      <c r="C5" s="9"/>
      <c r="D5" s="9"/>
      <c r="E5" s="9"/>
      <c r="F5" s="9"/>
      <c r="G5" s="9"/>
      <c r="H5" s="9"/>
    </row>
    <row r="6" spans="1:8">
      <c r="A6" s="9"/>
      <c r="B6" s="9"/>
      <c r="C6" s="9"/>
      <c r="D6" s="9"/>
      <c r="E6" s="9"/>
      <c r="F6" s="9"/>
      <c r="G6" s="9"/>
      <c r="H6" s="9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10" t="s">
        <v>131</v>
      </c>
      <c r="B8" s="9"/>
      <c r="C8" s="9"/>
      <c r="D8" s="9"/>
      <c r="E8" s="9"/>
      <c r="F8" s="9"/>
      <c r="G8" s="9"/>
      <c r="H8" s="9"/>
    </row>
    <row r="9" spans="1:8" ht="30.95">
      <c r="A9" s="3" t="s">
        <v>132</v>
      </c>
      <c r="B9" s="2" t="s">
        <v>133</v>
      </c>
      <c r="C9" s="2"/>
      <c r="D9" s="2"/>
      <c r="E9" s="2"/>
      <c r="F9" s="2"/>
      <c r="G9" s="2"/>
      <c r="H9" s="2"/>
    </row>
    <row r="10" spans="1:8" ht="60.95">
      <c r="A10" s="3" t="s">
        <v>134</v>
      </c>
      <c r="B10" s="2" t="s">
        <v>135</v>
      </c>
      <c r="C10" s="2"/>
      <c r="D10" s="2"/>
      <c r="E10" s="2"/>
      <c r="F10" s="2"/>
      <c r="G10" s="2"/>
      <c r="H10" s="2"/>
    </row>
    <row r="11" spans="1:8" ht="60.95">
      <c r="A11" s="3" t="s">
        <v>136</v>
      </c>
      <c r="B11" s="2" t="s">
        <v>137</v>
      </c>
      <c r="C11" s="2"/>
      <c r="D11" s="2"/>
      <c r="E11" s="2"/>
      <c r="F11" s="2"/>
      <c r="G11" s="2"/>
      <c r="H11" s="2"/>
    </row>
    <row r="12" spans="1:8" ht="60.95">
      <c r="A12" s="3" t="s">
        <v>138</v>
      </c>
      <c r="B12" s="2" t="s">
        <v>139</v>
      </c>
      <c r="C12" s="2"/>
      <c r="D12" s="2"/>
      <c r="E12" s="2"/>
      <c r="F12" s="2"/>
      <c r="G12" s="2"/>
      <c r="H12" s="2"/>
    </row>
    <row r="13" spans="1:8" ht="75.95">
      <c r="A13" s="3" t="s">
        <v>140</v>
      </c>
      <c r="B13" s="2" t="s">
        <v>141</v>
      </c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10" t="s">
        <v>142</v>
      </c>
      <c r="B15" s="9"/>
      <c r="C15" s="9"/>
      <c r="D15" s="9"/>
      <c r="E15" s="9"/>
      <c r="F15" s="9"/>
      <c r="G15" s="9"/>
      <c r="H15" s="9"/>
    </row>
    <row r="16" spans="1:8" ht="240">
      <c r="A16" s="2" t="s">
        <v>143</v>
      </c>
      <c r="B16" s="2"/>
      <c r="C16" s="2"/>
      <c r="D16" s="2"/>
      <c r="E16" s="2"/>
      <c r="F16" s="2"/>
      <c r="G16" s="2"/>
      <c r="H16" s="2"/>
    </row>
    <row r="17" spans="1:8" ht="225">
      <c r="A17" s="2" t="s">
        <v>144</v>
      </c>
      <c r="B17" s="2"/>
      <c r="C17" s="2"/>
      <c r="D17" s="2"/>
      <c r="E17" s="2"/>
      <c r="F17" s="2"/>
      <c r="G17" s="2"/>
      <c r="H17" s="2"/>
    </row>
    <row r="18" spans="1:8" ht="135">
      <c r="A18" s="2" t="s">
        <v>145</v>
      </c>
      <c r="B18" s="2"/>
      <c r="C18" s="2"/>
      <c r="D18" s="2"/>
      <c r="E18" s="2"/>
      <c r="F18" s="2"/>
      <c r="G18" s="2"/>
      <c r="H18" s="2"/>
    </row>
    <row r="19" spans="1:8" ht="210">
      <c r="A19" s="2" t="s">
        <v>146</v>
      </c>
      <c r="B19" s="2"/>
      <c r="C19" s="2"/>
      <c r="D19" s="2"/>
      <c r="E19" s="2"/>
      <c r="F19" s="2"/>
      <c r="G19" s="2"/>
      <c r="H19" s="2"/>
    </row>
    <row r="20" spans="1:8" ht="195">
      <c r="A20" s="2" t="s">
        <v>147</v>
      </c>
      <c r="B20" s="2"/>
      <c r="C20" s="2"/>
      <c r="D20" s="2"/>
      <c r="E20" s="2"/>
      <c r="F20" s="2"/>
      <c r="G20" s="2"/>
      <c r="H20" s="2"/>
    </row>
  </sheetData>
  <mergeCells count="5">
    <mergeCell ref="A1:H1"/>
    <mergeCell ref="A3:H3"/>
    <mergeCell ref="A4:H6"/>
    <mergeCell ref="A8:H8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Umair Abbas</cp:lastModifiedBy>
  <cp:revision/>
  <dcterms:created xsi:type="dcterms:W3CDTF">2026-07-08T22:23:58Z</dcterms:created>
  <dcterms:modified xsi:type="dcterms:W3CDTF">2026-07-15T08:03:04Z</dcterms:modified>
  <cp:category/>
  <cp:contentStatus/>
</cp:coreProperties>
</file>